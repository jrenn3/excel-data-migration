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Projects\excel-data-migration\backend\"/>
    </mc:Choice>
  </mc:AlternateContent>
  <xr:revisionPtr revIDLastSave="0" documentId="13_ncr:1_{7F1EC4C6-6426-4979-A614-740E13ED7581}" xr6:coauthVersionLast="47" xr6:coauthVersionMax="47" xr10:uidLastSave="{00000000-0000-0000-0000-000000000000}"/>
  <bookViews>
    <workbookView xWindow="-120" yWindow="-120" windowWidth="29040" windowHeight="15720" xr2:uid="{97CD3200-4BEF-4BD2-AAD5-53A1934118DE}"/>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Recurring" sheetId="8" r:id="rId12"/>
    <sheet name="Precedents" sheetId="31" r:id="rId13"/>
    <sheet name="Changes" sheetId="23" r:id="rId14"/>
    <sheet name="Planned" sheetId="4"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VBA" sheetId="87" r:id="rId33"/>
    <sheet name="←DEV HIDE ALL FOR PROD" sheetId="59" r:id="rId34"/>
  </sheets>
  <definedNames>
    <definedName name="_xlnm._FilterDatabase" localSheetId="7" hidden="1">Assets!$B$3:$E$15</definedName>
    <definedName name="_xlnm._FilterDatabase" localSheetId="30" hidden="1">'Categorized Inputs'!$A$1:$E$87</definedName>
    <definedName name="_xlnm._FilterDatabase" localSheetId="13"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4" hidden="1">Planned!$B$3:$F$5</definedName>
    <definedName name="_xlnm._FilterDatabase" localSheetId="18" hidden="1">Raw!$A$3:$F$3</definedName>
    <definedName name="_xlnm._FilterDatabase" localSheetId="11"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I10" i="8" l="1" a="1"/>
  <c r="I10" i="8" s="1"/>
  <c r="B5" i="24" s="1" a="1"/>
  <c r="H7" i="24" s="1" a="1"/>
  <c r="H7" i="24" s="1"/>
  <c r="C25" i="50"/>
  <c r="C27" i="50" s="1"/>
  <c r="B7" i="80" a="1"/>
  <c r="B7" i="80" s="1"/>
  <c r="B3" i="81" s="1"/>
  <c r="A4" i="81"/>
  <c r="C7" i="80" a="1"/>
  <c r="C7" i="80" s="1"/>
  <c r="C3" i="81" s="1"/>
  <c r="K7" i="80" a="1"/>
  <c r="K7" i="80" s="1"/>
  <c r="K3" i="81" s="1"/>
  <c r="S7" i="80" a="1"/>
  <c r="S7" i="80" s="1"/>
  <c r="S3" i="81" s="1"/>
  <c r="D7" i="80" a="1"/>
  <c r="D7" i="80" s="1"/>
  <c r="D3" i="81" s="1"/>
  <c r="L7" i="80" a="1"/>
  <c r="L7" i="80" s="1"/>
  <c r="L3" i="81" s="1"/>
  <c r="T7" i="80" a="1"/>
  <c r="T7" i="80" s="1"/>
  <c r="T3" i="81" s="1"/>
  <c r="U7" i="80" a="1"/>
  <c r="U7" i="80" s="1"/>
  <c r="U3" i="81" s="1"/>
  <c r="E7" i="80" a="1"/>
  <c r="E7" i="80" s="1"/>
  <c r="E3" i="81" s="1"/>
  <c r="L3" i="65" s="1"/>
  <c r="M7" i="80" a="1"/>
  <c r="M7" i="80" s="1"/>
  <c r="M3" i="81" s="1"/>
  <c r="F7" i="80" a="1"/>
  <c r="F7" i="80" s="1"/>
  <c r="F3" i="81" s="1"/>
  <c r="N7" i="80" a="1"/>
  <c r="N7" i="80" s="1"/>
  <c r="N3" i="81" s="1"/>
  <c r="G7" i="80" a="1"/>
  <c r="G7" i="80" s="1"/>
  <c r="G3" i="81" s="1"/>
  <c r="O7" i="80" a="1"/>
  <c r="O7" i="80" s="1"/>
  <c r="O3" i="81" s="1"/>
  <c r="H7" i="80" a="1"/>
  <c r="H7" i="80" s="1"/>
  <c r="H3" i="81" s="1"/>
  <c r="P7" i="80" a="1"/>
  <c r="P7" i="80" s="1"/>
  <c r="P3" i="81" s="1"/>
  <c r="I7" i="80" a="1"/>
  <c r="I7" i="80" s="1"/>
  <c r="I3" i="81" s="1"/>
  <c r="Q7" i="80" a="1"/>
  <c r="Q7" i="80" s="1"/>
  <c r="Q3" i="81" s="1"/>
  <c r="J7" i="80" a="1"/>
  <c r="J7" i="80" s="1"/>
  <c r="J3" i="81" s="1"/>
  <c r="R7" i="80" a="1"/>
  <c r="R7" i="80" s="1"/>
  <c r="R3" i="81"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4" i="63" l="1"/>
  <c r="AK7" i="24" l="1" a="1"/>
  <c r="AK7" i="24" s="1"/>
  <c r="AK3" i="63" s="1"/>
  <c r="AI7" i="24" a="1"/>
  <c r="AI7" i="24" s="1"/>
  <c r="AI3" i="63" s="1"/>
  <c r="AY7" i="24" a="1"/>
  <c r="AY7" i="24" s="1"/>
  <c r="AY3" i="63" s="1"/>
  <c r="AU7" i="24" a="1"/>
  <c r="AU7" i="24" s="1"/>
  <c r="AU3" i="63" s="1"/>
  <c r="AX7" i="24" a="1"/>
  <c r="AX7" i="24" s="1"/>
  <c r="AX3" i="63" s="1"/>
  <c r="AL7" i="24" a="1"/>
  <c r="AL7" i="24" s="1"/>
  <c r="AL3" i="63" s="1"/>
  <c r="AM7" i="24" a="1"/>
  <c r="AM7" i="24" s="1"/>
  <c r="AM3" i="63" s="1"/>
  <c r="AN7" i="24" a="1"/>
  <c r="AN7" i="24" s="1"/>
  <c r="AN3" i="63" s="1"/>
  <c r="AO7" i="24" a="1"/>
  <c r="AO7" i="24" s="1"/>
  <c r="AO3" i="63" s="1"/>
  <c r="AP7" i="24" a="1"/>
  <c r="AP7" i="24" s="1"/>
  <c r="AP3" i="63" s="1"/>
  <c r="AQ7" i="24" a="1"/>
  <c r="AQ7" i="24" s="1"/>
  <c r="AQ3" i="63" s="1"/>
  <c r="AR7" i="24" a="1"/>
  <c r="AR7" i="24" s="1"/>
  <c r="AR3" i="63" s="1"/>
  <c r="AS7" i="24" a="1"/>
  <c r="AS7" i="24" s="1"/>
  <c r="AS3" i="63" s="1"/>
  <c r="AT7" i="24" a="1"/>
  <c r="AT7" i="24" s="1"/>
  <c r="AT3" i="63" s="1"/>
  <c r="AW7" i="24" a="1"/>
  <c r="AW7" i="24" s="1"/>
  <c r="AW3" i="63" s="1"/>
  <c r="AV7" i="24" a="1"/>
  <c r="AV7" i="24" s="1"/>
  <c r="AV3" i="63" s="1"/>
  <c r="AJ7" i="24" a="1"/>
  <c r="AJ7" i="24" s="1"/>
  <c r="AJ3" i="63" s="1"/>
  <c r="AG7" i="24" a="1"/>
  <c r="AG7" i="24" s="1"/>
  <c r="AG3" i="63" s="1"/>
  <c r="AH7" i="24" a="1"/>
  <c r="AH7" i="24" s="1"/>
  <c r="AH3" i="63" s="1"/>
  <c r="AF7" i="24" a="1"/>
  <c r="AF7" i="24" s="1"/>
  <c r="AF3" i="63" s="1"/>
  <c r="C7" i="24" a="1"/>
  <c r="C7" i="24" s="1"/>
  <c r="G7" i="24" a="1"/>
  <c r="G7" i="24" s="1"/>
  <c r="K7" i="24" a="1"/>
  <c r="K7" i="24" s="1"/>
  <c r="O7" i="24" a="1"/>
  <c r="O7" i="24" s="1"/>
  <c r="O3" i="63" s="1"/>
  <c r="S7" i="24" a="1"/>
  <c r="S7" i="24" s="1"/>
  <c r="W7" i="24" a="1"/>
  <c r="W7" i="24" s="1"/>
  <c r="W3" i="63" s="1"/>
  <c r="AA7" i="24" a="1"/>
  <c r="AA7" i="24" s="1"/>
  <c r="AE7" i="24" a="1"/>
  <c r="AE7" i="24" s="1"/>
  <c r="AE3" i="63" s="1"/>
  <c r="H3" i="63"/>
  <c r="L7" i="24" a="1"/>
  <c r="L7" i="24" s="1"/>
  <c r="L3" i="63" s="1"/>
  <c r="P7" i="24" a="1"/>
  <c r="P7" i="24" s="1"/>
  <c r="P3" i="63" s="1"/>
  <c r="AD7" i="24" a="1"/>
  <c r="AD7" i="24" s="1"/>
  <c r="AD3" i="63"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AC3" i="63" s="1"/>
  <c r="F7" i="24" a="1"/>
  <c r="F7" i="24" s="1"/>
  <c r="R7" i="24" a="1"/>
  <c r="R7" i="24" s="1"/>
  <c r="V7" i="24" a="1"/>
  <c r="V7" i="24" s="1"/>
  <c r="V3" i="63" s="1"/>
  <c r="D3" i="65" s="1"/>
  <c r="N7" i="24" a="1"/>
  <c r="N7" i="24" s="1"/>
  <c r="N3" i="63" s="1"/>
  <c r="A5" i="63"/>
  <c r="AR4" i="63" l="1"/>
  <c r="AV4" i="63"/>
  <c r="AQ4" i="63"/>
  <c r="AU4" i="63"/>
  <c r="AP4" i="63"/>
  <c r="AN4" i="63"/>
  <c r="AO4" i="63"/>
  <c r="AF4" i="63"/>
  <c r="AM4" i="63"/>
  <c r="AE4" i="63"/>
  <c r="AL4" i="63"/>
  <c r="AW4" i="63"/>
  <c r="AK4" i="63"/>
  <c r="AG4" i="63"/>
  <c r="AJ4" i="63"/>
  <c r="AT4" i="63"/>
  <c r="AY4" i="63"/>
  <c r="AD4" i="63"/>
  <c r="AI4" i="63"/>
  <c r="AS4" i="63"/>
  <c r="AX4" i="63"/>
  <c r="AC4" i="63"/>
  <c r="AH4" i="63"/>
  <c r="Z4" i="63"/>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9" i="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M59" i="5"/>
  <c r="P58" i="5"/>
  <c r="J57" i="5"/>
  <c r="K57" i="5"/>
  <c r="L57" i="5"/>
  <c r="N57" i="5"/>
  <c r="L61" i="5"/>
  <c r="M61" i="5"/>
  <c r="N61" i="5"/>
  <c r="J73" i="5"/>
  <c r="K73" i="5"/>
  <c r="L73" i="5"/>
  <c r="M73" i="5"/>
  <c r="N73" i="5"/>
  <c r="J38" i="5"/>
  <c r="K38" i="5"/>
  <c r="L38" i="5"/>
  <c r="M38" i="5"/>
  <c r="N38" i="5"/>
  <c r="J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K20" i="5" s="1"/>
  <c r="AE228" i="65"/>
  <c r="AE214" i="65"/>
  <c r="AE200" i="65"/>
  <c r="V74" i="65"/>
  <c r="AE186" i="65"/>
  <c r="Z180" i="65"/>
  <c r="D178" i="65"/>
  <c r="AE172" i="65"/>
  <c r="AE158" i="65"/>
  <c r="AE130" i="65"/>
  <c r="AE116" i="65"/>
  <c r="AE88" i="65"/>
  <c r="Z68" i="65"/>
  <c r="AE60" i="65"/>
  <c r="AE46" i="65"/>
  <c r="AE32" i="65"/>
  <c r="AE18" i="65"/>
  <c r="AE4" i="65"/>
  <c r="B2" i="63" a="1"/>
  <c r="L77" i="63" s="1"/>
  <c r="L353" i="63" l="1"/>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G47" i="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Q325" i="65" l="1"/>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M57" i="5" s="1"/>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M72" i="5" s="1"/>
  <c r="M75" i="5" s="1"/>
  <c r="X247" i="65"/>
  <c r="AE205" i="65"/>
  <c r="AD205" i="65"/>
  <c r="X177" i="65"/>
  <c r="D144" i="65"/>
  <c r="H20" i="5" s="1"/>
  <c r="J144" i="65"/>
  <c r="H72" i="5" s="1"/>
  <c r="H75" i="5" s="1"/>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F49" i="5" l="1"/>
  <c r="C60" i="5"/>
  <c r="E49" i="5"/>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P20" i="5"/>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49" i="5" l="1"/>
  <c r="P52" i="5" s="1"/>
  <c r="P57" i="5"/>
  <c r="E52" i="5"/>
  <c r="H52" i="5"/>
  <c r="D63" i="5"/>
  <c r="M52" i="5"/>
  <c r="E63" i="5"/>
  <c r="J52" i="5"/>
  <c r="G52" i="5"/>
  <c r="F63" i="5"/>
  <c r="C77" i="5"/>
  <c r="C10" i="5" s="1"/>
  <c r="C31" i="50" s="1"/>
  <c r="C37" i="50" s="1"/>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<sst xmlns="http://schemas.openxmlformats.org/spreadsheetml/2006/main" count="822" uniqueCount="349">
  <si>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</si>
  <si>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</si>
  <si>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</si>
  <si>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</si>
  <si>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</si>
  <si>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</si>
  <si>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</si>
  <si>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</si>
  <si>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</si>
  <si>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</si>
  <si>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</si>
  <si>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</si>
  <si>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</si>
  <si>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</si>
  <si>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</si>
  <si>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</si>
  <si>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</si>
  <si>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</si>
  <si>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</si>
  <si>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</si>
  <si>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</si>
  <si>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</si>
  <si>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</si>
  <si>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</si>
  <si>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</si>
  <si>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</si>
  <si>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</si>
  <si>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</si>
  <si>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</si>
  <si>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</si>
  <si>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</si>
  <si>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</si>
  <si>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</si>
  <si>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</si>
  <si>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</si>
  <si>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</si>
  <si>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</si>
  <si>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</si>
  <si>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</si>
  <si>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</si>
  <si>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</si>
  <si>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</si>
  <si>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</si>
  <si>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</si>
  <si>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</si>
  <si>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</si>
  <si>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</si>
  <si>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</si>
  <si>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</si>
  <si>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</si>
  <si>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</si>
  <si>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</si>
  <si>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</si>
  <si>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</si>
  <si>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</si>
  <si>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</si>
  <si>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</si>
  <si>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</si>
  <si>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</si>
  <si>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</si>
  <si>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</si>
  <si>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</si>
  <si>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</si>
  <si>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</si>
  <si>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</si>
  <si>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</si>
  <si>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</si>
  <si>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</si>
  <si>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</si>
  <si>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</si>
  <si>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</si>
  <si>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</si>
  <si>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</si>
  <si>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</si>
  <si>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</si>
  <si>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</si>
  <si>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</si>
  <si>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</si>
  <si>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</si>
  <si>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</si>
  <si>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</si>
  <si>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</si>
  <si>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</si>
  <si>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</si>
  <si>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</si>
  <si>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</si>
  <si>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</si>
  <si>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</si>
  <si>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</si>
  <si>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</si>
  <si>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</si>
  <si>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</si>
  <si>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</si>
  <si>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</si>
  <si>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</si>
  <si>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</si>
  <si>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</si>
  <si>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</si>
  <si>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</si>
  <si>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</si>
  <si>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</si>
  <si>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</si>
  <si>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</si>
  <si>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</si>
  <si>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</si>
  <si>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</si>
  <si>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</si>
  <si>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</si>
  <si>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</si>
  <si>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</si>
  <si>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</si>
  <si>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</si>
  <si>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</si>
  <si>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</si>
  <si>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</si>
  <si>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</si>
  <si>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</si>
  <si>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</si>
  <si>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</si>
  <si>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</si>
  <si>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</si>
  <si>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</si>
  <si>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</si>
  <si>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</si>
  <si>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</si>
  <si>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</si>
  <si>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</si>
  <si>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</si>
  <si>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</si>
  <si>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</si>
  <si>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</si>
  <si>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</si>
  <si>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</si>
  <si>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</si>
  <si>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</si>
  <si>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</si>
  <si>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</si>
  <si>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</si>
  <si>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</si>
  <si>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</si>
  <si>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</si>
  <si>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</si>
  <si>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</si>
  <si>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</si>
  <si>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</si>
  <si>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</si>
  <si>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</si>
  <si>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</si>
  <si>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</si>
  <si>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</si>
  <si>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</si>
  <si>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</si>
  <si>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</si>
  <si>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</si>
  <si>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</si>
  <si>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</si>
  <si>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</si>
  <si>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</si>
  <si>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</si>
  <si>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</si>
  <si>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</si>
  <si>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</si>
  <si>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</si>
  <si>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</si>
  <si>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</si>
  <si>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</si>
  <si>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</si>
  <si>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</si>
  <si>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</si>
  <si>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</si>
  <si>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</si>
  <si>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</si>
  <si>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</si>
  <si>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</si>
  <si>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</si>
  <si>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</si>
  <si>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</si>
  <si>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</si>
  <si>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</si>
  <si>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</si>
  <si>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</si>
  <si>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</si>
  <si>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</si>
  <si>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</si>
  <si>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</si>
  <si>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</si>
  <si>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</si>
  <si>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</si>
  <si>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</si>
  <si>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</si>
  <si>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</si>
  <si>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</si>
  <si>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</si>
  <si>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</si>
  <si>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</si>
  <si>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</si>
  <si>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</si>
  <si>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</si>
  <si>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</si>
  <si>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</si>
  <si>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</si>
  <si>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</si>
  <si>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</si>
  <si>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</si>
  <si>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</si>
  <si>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</si>
  <si>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</si>
  <si>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</si>
  <si>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</si>
  <si>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</si>
  <si>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</si>
  <si>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</si>
  <si>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</si>
  <si>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</si>
  <si>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</si>
  <si>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</si>
  <si>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</si>
  <si>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</si>
  <si>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</si>
  <si>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</si>
  <si>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</si>
  <si>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</si>
  <si>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</si>
  <si>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</si>
  <si>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</si>
  <si>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</si>
  <si>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</si>
  <si>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</si>
  <si>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</si>
  <si>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</si>
  <si>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</si>
  <si>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</si>
  <si>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</si>
  <si>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</si>
  <si>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</si>
  <si>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</si>
  <si>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</si>
  <si>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</si>
  <si>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</si>
  <si>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</si>
  <si>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</si>
  <si>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</si>
  <si>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</si>
  <si>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</si>
  <si>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</si>
  <si>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</si>
  <si>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</si>
  <si>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</si>
  <si>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</si>
  <si>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</si>
  <si>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</si>
  <si>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</si>
  <si>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</si>
  <si>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</si>
  <si>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</si>
  <si>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</si>
  <si>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</si>
  <si>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</si>
  <si>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</si>
  <si>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</si>
  <si>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</si>
  <si>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</si>
  <si>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</si>
  <si>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</si>
  <si>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</si>
  <si>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</si>
  <si>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</si>
  <si>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</si>
  <si>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</si>
  <si>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</si>
  <si>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</si>
  <si>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</si>
  <si>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</si>
  <si>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</si>
  <si>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</si>
  <si>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</si>
  <si>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</si>
  <si>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</si>
  <si>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</si>
  <si>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</si>
  <si>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</si>
  <si>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</si>
  <si>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</si>
  <si>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</si>
  <si>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</si>
  <si>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</si>
  <si>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</si>
  <si>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</si>
  <si>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</si>
  <si>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</si>
  <si>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</si>
  <si>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</si>
  <si>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</si>
  <si>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</si>
  <si>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</si>
  <si>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</si>
  <si>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</si>
  <si>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</si>
  <si>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</si>
  <si>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</si>
  <si>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</si>
  <si>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</si>
  <si>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</si>
  <si>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</si>
  <si>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</si>
  <si>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</si>
  <si>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</si>
  <si>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</si>
  <si>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</si>
  <si>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</si>
  <si>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</si>
  <si>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</si>
  <si>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</si>
  <si>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</si>
  <si>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</si>
  <si>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</si>
  <si>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</si>
  <si>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</si>
  <si>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</si>
  <si>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</si>
  <si>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</si>
  <si>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</si>
  <si>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</si>
  <si>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</si>
  <si>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</si>
  <si>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Apr Dog sitting</t>
  </si>
  <si>
    <t>Mar Dinner</t>
  </si>
  <si>
    <t>Mar Amazon return</t>
  </si>
  <si>
    <t>Mar Insurance payout</t>
  </si>
  <si>
    <t>Mar Hockey game</t>
  </si>
  <si>
    <t>Jun New laptop, Oct Clothes</t>
  </si>
  <si>
    <t>Jun Something</t>
  </si>
  <si>
    <t>Apr Current payment, Mar Current payment, May Next payment, Apr Next payment</t>
  </si>
  <si>
    <t>EndOfCurrentMonth formula for Recurring and Credit Cards tabs</t>
  </si>
  <si>
    <t>Easily hide unused rows in NTM tab</t>
  </si>
  <si>
    <t>Allow sorting on Credit Cards, Loyalty Points &amp; Miles, Changes and Planned tabs</t>
  </si>
  <si>
    <t>Metadata to identify model version</t>
  </si>
  <si>
    <t>Real Assets</t>
  </si>
  <si>
    <t>Mar Bonus</t>
  </si>
  <si>
    <t>Mar Rent bump</t>
  </si>
  <si>
    <t>Feb Ski trip</t>
  </si>
  <si>
    <t>Feb Concert</t>
  </si>
  <si>
    <t>Jun Loan paid off</t>
  </si>
  <si>
    <t>Liability Accounts</t>
  </si>
  <si>
    <t>~99</t>
  </si>
  <si>
    <r>
      <t xml:space="preserve">FIRST: Visit the following site and follow the directions to </t>
    </r>
    <r>
      <rPr>
        <i/>
        <sz val="10"/>
        <color rgb="FF000000"/>
        <rFont val="Arial"/>
        <family val="2"/>
        <scheme val="minor"/>
      </rPr>
      <t>Unblock a single file</t>
    </r>
  </si>
  <si>
    <t>https://support.microsoft.com/en-us/topic/a-potentially-dangerous-macro-has-been-blocked-0952faa0-37e7-4316-b61d-5b5ed6024216</t>
  </si>
  <si>
    <t>GETTING STARTED</t>
  </si>
  <si>
    <t>THEN: Close this file and reopen. Click yes in the pop-up.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</si>
</sst>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8">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xf numFmtId="0" fontId="7" fillId="0" borderId="0" xfId="2"/>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35</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37</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topic/a-potentially-dangerous-macro-has-been-blocked-0952faa0-37e7-4316-b61d-5b5ed602421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45"/>
  <sheetViews>
    <sheetView tabSelected="1" workbookViewId="0">
      <selection activeCell="B2" sqref="B2"/>
    </sheetView>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3" x14ac:dyDescent="0.2">
      <c r="B2" s="28" t="s">
        <v>345</v>
      </c>
    </row>
    <row r="3" spans="2:3" x14ac:dyDescent="0.2">
      <c r="B3" s="237" t="s">
        <v>346</v>
      </c>
    </row>
    <row r="5" spans="2:3" x14ac:dyDescent="0.2">
      <c r="B5" s="28" t="s">
        <v>348</v>
      </c>
    </row>
    <row r="7" spans="2:3" s="165" customFormat="1" x14ac:dyDescent="0.2">
      <c r="B7" s="56" t="s">
        <v>347</v>
      </c>
      <c r="C7" s="56"/>
    </row>
    <row r="9" spans="2:3" x14ac:dyDescent="0.2">
      <c r="B9" s="151" t="s">
        <v>224</v>
      </c>
      <c r="C9" s="151"/>
    </row>
    <row r="10" spans="2:3" x14ac:dyDescent="0.2">
      <c r="B10" s="28" t="s">
        <v>225</v>
      </c>
      <c r="C10" s="28" t="s">
        <v>226</v>
      </c>
    </row>
    <row r="11" spans="2:3" x14ac:dyDescent="0.2">
      <c r="B11" s="28" t="s">
        <v>227</v>
      </c>
      <c r="C11" s="28" t="s">
        <v>228</v>
      </c>
    </row>
    <row r="12" spans="2:3" x14ac:dyDescent="0.2">
      <c r="B12" s="28" t="s">
        <v>229</v>
      </c>
      <c r="C12" s="28" t="s">
        <v>243</v>
      </c>
    </row>
    <row r="13" spans="2:3" x14ac:dyDescent="0.2">
      <c r="B13" s="28" t="s">
        <v>230</v>
      </c>
      <c r="C13" s="28" t="s">
        <v>231</v>
      </c>
    </row>
    <row r="14" spans="2:3" x14ac:dyDescent="0.2">
      <c r="B14" s="28"/>
      <c r="C14" s="28"/>
    </row>
    <row r="15" spans="2:3" s="165" customFormat="1" x14ac:dyDescent="0.2">
      <c r="B15" s="56" t="s">
        <v>171</v>
      </c>
      <c r="C15" s="56"/>
    </row>
    <row r="17" spans="2:5" x14ac:dyDescent="0.2">
      <c r="B17" s="151" t="s">
        <v>147</v>
      </c>
      <c r="C17" s="151"/>
    </row>
    <row r="18" spans="2:5" x14ac:dyDescent="0.2">
      <c r="B18" s="28" t="s">
        <v>109</v>
      </c>
      <c r="C18" s="28"/>
      <c r="D18" s="88" t="s">
        <v>97</v>
      </c>
      <c r="E18" s="28" t="s">
        <v>244</v>
      </c>
    </row>
    <row r="19" spans="2:5" x14ac:dyDescent="0.2">
      <c r="B19" s="28" t="s">
        <v>111</v>
      </c>
      <c r="C19" s="28"/>
      <c r="D19" s="88" t="s">
        <v>97</v>
      </c>
      <c r="E19" s="28" t="s">
        <v>110</v>
      </c>
    </row>
    <row r="20" spans="2:5" x14ac:dyDescent="0.2">
      <c r="B20" s="28" t="s">
        <v>31</v>
      </c>
      <c r="C20" s="28"/>
      <c r="D20" s="88" t="s">
        <v>97</v>
      </c>
      <c r="E20" s="28" t="s">
        <v>245</v>
      </c>
    </row>
    <row r="21" spans="2:5" x14ac:dyDescent="0.2">
      <c r="B21" s="28" t="s">
        <v>30</v>
      </c>
      <c r="C21" s="28"/>
      <c r="D21" s="88" t="s">
        <v>97</v>
      </c>
      <c r="E21" s="28" t="s">
        <v>246</v>
      </c>
    </row>
    <row r="22" spans="2:5" x14ac:dyDescent="0.2">
      <c r="B22" s="28" t="s">
        <v>112</v>
      </c>
      <c r="C22" s="28"/>
      <c r="D22" s="88" t="s">
        <v>97</v>
      </c>
      <c r="E22" s="28" t="s">
        <v>247</v>
      </c>
    </row>
    <row r="23" spans="2:5" x14ac:dyDescent="0.2">
      <c r="B23" s="28" t="s">
        <v>7</v>
      </c>
      <c r="C23" s="28"/>
      <c r="D23" s="28" t="s">
        <v>97</v>
      </c>
      <c r="E23" t="s">
        <v>162</v>
      </c>
    </row>
    <row r="24" spans="2:5" x14ac:dyDescent="0.2">
      <c r="B24" s="28"/>
      <c r="C24" s="28"/>
      <c r="D24" s="88"/>
      <c r="E24" s="28"/>
    </row>
    <row r="25" spans="2:5" x14ac:dyDescent="0.2">
      <c r="B25" s="151" t="s">
        <v>148</v>
      </c>
      <c r="C25" s="151"/>
      <c r="D25" s="88"/>
      <c r="E25" s="28"/>
    </row>
    <row r="26" spans="2:5" x14ac:dyDescent="0.2">
      <c r="B26" s="29" t="s">
        <v>108</v>
      </c>
      <c r="C26" s="29"/>
      <c r="D26" s="88" t="s">
        <v>97</v>
      </c>
      <c r="E26" s="28" t="s">
        <v>324</v>
      </c>
    </row>
    <row r="27" spans="2:5" x14ac:dyDescent="0.2">
      <c r="B27" s="87" t="s">
        <v>107</v>
      </c>
      <c r="C27" s="87"/>
      <c r="D27" s="88" t="s">
        <v>97</v>
      </c>
      <c r="E27" s="28" t="s">
        <v>323</v>
      </c>
    </row>
    <row r="28" spans="2:5" x14ac:dyDescent="0.2">
      <c r="B28" s="86" t="s">
        <v>96</v>
      </c>
      <c r="C28" s="86"/>
      <c r="D28" s="88" t="s">
        <v>97</v>
      </c>
      <c r="E28" s="28" t="s">
        <v>253</v>
      </c>
    </row>
    <row r="29" spans="2:5" x14ac:dyDescent="0.2">
      <c r="B29" s="128"/>
      <c r="C29" s="128"/>
      <c r="D29" s="88"/>
      <c r="E29" s="28"/>
    </row>
    <row r="30" spans="2:5" x14ac:dyDescent="0.2">
      <c r="B30" s="152" t="s">
        <v>222</v>
      </c>
      <c r="C30" s="152"/>
      <c r="D30" s="88"/>
      <c r="E30" s="28"/>
    </row>
    <row r="31" spans="2:5" x14ac:dyDescent="0.2">
      <c r="B31" s="28" t="s">
        <v>140</v>
      </c>
      <c r="C31" s="28"/>
      <c r="D31" s="28" t="s">
        <v>97</v>
      </c>
      <c r="E31" t="s">
        <v>161</v>
      </c>
    </row>
    <row r="32" spans="2:5" x14ac:dyDescent="0.2">
      <c r="B32" s="28" t="s">
        <v>142</v>
      </c>
      <c r="C32" s="28"/>
      <c r="D32" s="28" t="s">
        <v>97</v>
      </c>
      <c r="E32" t="s">
        <v>141</v>
      </c>
    </row>
    <row r="33" spans="2:5" x14ac:dyDescent="0.2">
      <c r="B33" s="28" t="s">
        <v>143</v>
      </c>
      <c r="C33" s="28"/>
      <c r="D33" s="28" t="s">
        <v>97</v>
      </c>
      <c r="E33" t="s">
        <v>146</v>
      </c>
    </row>
    <row r="34" spans="2:5" x14ac:dyDescent="0.2">
      <c r="B34" s="28" t="s">
        <v>144</v>
      </c>
      <c r="C34" s="28"/>
      <c r="D34" s="28" t="s">
        <v>97</v>
      </c>
      <c r="E34" t="s">
        <v>145</v>
      </c>
    </row>
    <row r="41" spans="2:5" s="165" customFormat="1" x14ac:dyDescent="0.2">
      <c r="B41" s="56" t="s">
        <v>223</v>
      </c>
      <c r="C41" s="56"/>
    </row>
    <row r="43" spans="2:5" x14ac:dyDescent="0.2">
      <c r="B43" s="28" t="s">
        <v>242</v>
      </c>
      <c r="C43" s="28"/>
    </row>
    <row r="44" spans="2:5" x14ac:dyDescent="0.2">
      <c r="B44" s="28" t="s">
        <v>170</v>
      </c>
      <c r="C44" s="28"/>
    </row>
    <row r="45" spans="2:5" x14ac:dyDescent="0.2">
      <c r="B45" s="28" t="s">
        <v>169</v>
      </c>
      <c r="C45" s="28"/>
    </row>
  </sheetData>
  <hyperlinks>
    <hyperlink ref="B3" r:id="rId1" xr:uid="{6E7E095D-EE2F-4453-9FDD-E77D8BD9198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election activeCell="G17" sqref="G17"/>
    </sheetView>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45752</v>
      </c>
      <c r="D4" s="7">
        <f ca="1">EOMONTH(C4,0)+1</f>
        <v>45778</v>
      </c>
      <c r="E4" s="7">
        <f t="shared" ref="E4:N4" ca="1" si="0">EDATE(D4,1)</f>
        <v>45809</v>
      </c>
      <c r="F4" s="7">
        <f t="shared" ca="1" si="0"/>
        <v>45839</v>
      </c>
      <c r="G4" s="7">
        <f t="shared" ca="1" si="0"/>
        <v>45870</v>
      </c>
      <c r="H4" s="7">
        <f t="shared" ca="1" si="0"/>
        <v>45901</v>
      </c>
      <c r="I4" s="7">
        <f t="shared" ca="1" si="0"/>
        <v>45931</v>
      </c>
      <c r="J4" s="7">
        <f t="shared" ca="1" si="0"/>
        <v>45962</v>
      </c>
      <c r="K4" s="7">
        <f t="shared" ca="1" si="0"/>
        <v>45992</v>
      </c>
      <c r="L4" s="7">
        <f t="shared" ca="1" si="0"/>
        <v>46023</v>
      </c>
      <c r="M4" s="7">
        <f t="shared" ca="1" si="0"/>
        <v>46054</v>
      </c>
      <c r="N4" s="7">
        <f t="shared" ca="1" si="0"/>
        <v>46082</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303</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t="s">
        <v>338</v>
      </c>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t="s">
        <v>325</v>
      </c>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t="s">
        <v>326</v>
      </c>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t="s">
        <v>327</v>
      </c>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t="s">
        <v>206</v>
      </c>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t="s">
        <v>328</v>
      </c>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t="s">
        <v>339</v>
      </c>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291</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t="s">
        <v>329</v>
      </c>
      <c r="U49" s="22"/>
    </row>
    <row r="50" spans="1:23" ht="12.75" customHeight="1" x14ac:dyDescent="0.2">
      <c r="A50" s="226"/>
      <c r="B50" s="161" t="s">
        <v>304</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263</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t="s">
        <v>340</v>
      </c>
      <c r="U57" s="22"/>
    </row>
    <row r="58" spans="1:23" ht="12.75" customHeight="1" x14ac:dyDescent="0.2">
      <c r="A58" s="226"/>
      <c r="B58" s="69" t="s">
        <v>289</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t="s">
        <v>341</v>
      </c>
      <c r="U58" s="22"/>
    </row>
    <row r="59" spans="1:23" ht="12.75" customHeight="1" x14ac:dyDescent="0.2">
      <c r="A59" s="226"/>
      <c r="B59" s="69" t="s">
        <v>290</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t="s">
        <v>330</v>
      </c>
      <c r="U59" s="22"/>
    </row>
    <row r="60" spans="1:23" ht="12.75" customHeight="1" x14ac:dyDescent="0.2">
      <c r="A60" s="226"/>
      <c r="B60" s="69" t="s">
        <v>277</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292</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t="s">
        <v>331</v>
      </c>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t="s">
        <v>342</v>
      </c>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t="s">
        <v>332</v>
      </c>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211</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212</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210</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209</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337</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208</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207</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215</v>
      </c>
      <c r="C25" s="93">
        <f>SUMIFS(Assets!$E:$E,Assets!$B:$B,"Cash")-SUM(C23:C24)</f>
        <v>0</v>
      </c>
      <c r="D25" s="209"/>
      <c r="E25" s="42"/>
    </row>
    <row r="26" spans="1:11" x14ac:dyDescent="0.2">
      <c r="A26" s="42"/>
      <c r="B26" s="92" t="s">
        <v>216</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45752</v>
      </c>
      <c r="C2" s="7">
        <f ca="1">NTM!D4</f>
        <v>45778</v>
      </c>
      <c r="D2" s="7">
        <f ca="1">NTM!E4</f>
        <v>45809</v>
      </c>
      <c r="E2" s="7">
        <f ca="1">NTM!F4</f>
        <v>45839</v>
      </c>
      <c r="F2" s="7">
        <f ca="1">NTM!G4</f>
        <v>45870</v>
      </c>
      <c r="G2" s="7">
        <f ca="1">NTM!H4</f>
        <v>45901</v>
      </c>
      <c r="H2" s="7">
        <f ca="1">NTM!I4</f>
        <v>45931</v>
      </c>
      <c r="I2" s="7">
        <f ca="1">NTM!J4</f>
        <v>45962</v>
      </c>
      <c r="J2" s="7">
        <f ca="1">NTM!K4</f>
        <v>45992</v>
      </c>
      <c r="K2" s="7">
        <f ca="1">NTM!L4</f>
        <v>46023</v>
      </c>
      <c r="L2" s="7">
        <f ca="1">NTM!M4</f>
        <v>46054</v>
      </c>
      <c r="M2" s="143">
        <f ca="1">NTM!N4</f>
        <v>46082</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217</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45752</v>
      </c>
      <c r="D4" s="137">
        <f>'Balances &amp; Actions'!$C$6</f>
        <v>0</v>
      </c>
      <c r="E4" s="137">
        <f>SUM('Balances &amp; Actions'!C9:C10)</f>
        <v>0</v>
      </c>
      <c r="F4" s="137">
        <f>SUM(D4:E4)</f>
        <v>0</v>
      </c>
      <c r="G4" s="137">
        <f>'Balances &amp; Actions'!$C$21</f>
        <v>0</v>
      </c>
      <c r="H4" s="137">
        <f ca="1">NTM!$P$15</f>
        <v>0</v>
      </c>
      <c r="I4" s="138">
        <f ca="1">NTM!$N$93</f>
        <v>0</v>
      </c>
    </row>
    <row r="6" spans="2:10" x14ac:dyDescent="0.2">
      <c r="B6"/>
      <c r="C6" s="139">
        <v>45745</v>
      </c>
      <c r="D6" s="140">
        <v>39360</v>
      </c>
      <c r="E6" s="140">
        <v>132000</v>
      </c>
      <c r="F6" s="140">
        <v>171360</v>
      </c>
      <c r="G6" s="140">
        <v>144580</v>
      </c>
      <c r="H6" s="140">
        <v>33350.277624055787</v>
      </c>
      <c r="I6" s="140">
        <v>193624.2776240558</v>
      </c>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workbookViewId="0"/>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45777</v>
      </c>
      <c r="J4" s="37" cm="1">
        <f t="array" aca="1" ref="J4:J24" ca="1">EDATE(INDEX(I4:I24,_xlfn.SEQUENCE(COUNTA(I4:I24))),1)</f>
        <v>45807</v>
      </c>
    </row>
    <row r="5" spans="2:11" x14ac:dyDescent="0.2">
      <c r="C5" s="41"/>
      <c r="H5" s="2">
        <v>0</v>
      </c>
      <c r="I5" s="37">
        <f ca="1"/>
        <v>45777</v>
      </c>
      <c r="J5" s="37">
        <f ca="1"/>
        <v>45807</v>
      </c>
    </row>
    <row r="6" spans="2:11" x14ac:dyDescent="0.2">
      <c r="C6" s="41"/>
      <c r="H6" s="2">
        <v>0</v>
      </c>
      <c r="I6" s="37">
        <f ca="1"/>
        <v>45777</v>
      </c>
      <c r="J6" s="37">
        <f ca="1"/>
        <v>45807</v>
      </c>
    </row>
    <row r="7" spans="2:11" x14ac:dyDescent="0.2">
      <c r="B7" s="28"/>
      <c r="C7" s="41"/>
      <c r="H7" s="2">
        <v>0</v>
      </c>
      <c r="I7" s="37">
        <f ca="1"/>
        <v>45777</v>
      </c>
      <c r="J7" s="37">
        <f ca="1"/>
        <v>45807</v>
      </c>
    </row>
    <row r="8" spans="2:11" x14ac:dyDescent="0.2">
      <c r="C8" s="41"/>
      <c r="H8" s="2">
        <v>0</v>
      </c>
      <c r="I8" s="37">
        <f ca="1"/>
        <v>45777</v>
      </c>
      <c r="J8" s="37">
        <f ca="1"/>
        <v>45807</v>
      </c>
    </row>
    <row r="9" spans="2:11" x14ac:dyDescent="0.2">
      <c r="H9" s="2">
        <v>0</v>
      </c>
      <c r="I9" s="31">
        <f ca="1"/>
        <v>45777</v>
      </c>
      <c r="J9" s="31">
        <f ca="1"/>
        <v>45807</v>
      </c>
    </row>
    <row r="10" spans="2:11" x14ac:dyDescent="0.2">
      <c r="H10" s="2">
        <v>0</v>
      </c>
      <c r="I10" s="31">
        <f ca="1"/>
        <v>45777</v>
      </c>
      <c r="J10" s="31">
        <f ca="1"/>
        <v>45807</v>
      </c>
    </row>
    <row r="11" spans="2:11" x14ac:dyDescent="0.2">
      <c r="H11" s="2">
        <v>0</v>
      </c>
      <c r="I11" s="31">
        <f ca="1"/>
        <v>45777</v>
      </c>
      <c r="J11" s="31">
        <f ca="1"/>
        <v>45807</v>
      </c>
    </row>
    <row r="12" spans="2:11" x14ac:dyDescent="0.2">
      <c r="H12" s="2">
        <v>0</v>
      </c>
      <c r="I12" s="31">
        <f ca="1"/>
        <v>45777</v>
      </c>
      <c r="J12" s="31">
        <f ca="1"/>
        <v>45807</v>
      </c>
    </row>
    <row r="13" spans="2:11" x14ac:dyDescent="0.2">
      <c r="H13" s="2">
        <v>0</v>
      </c>
      <c r="I13" s="31">
        <f ca="1"/>
        <v>45777</v>
      </c>
      <c r="J13" s="31">
        <f ca="1"/>
        <v>45807</v>
      </c>
    </row>
    <row r="14" spans="2:11" x14ac:dyDescent="0.2">
      <c r="H14" s="2">
        <v>0</v>
      </c>
      <c r="I14" s="31">
        <f ca="1"/>
        <v>45777</v>
      </c>
      <c r="J14" s="31">
        <f ca="1"/>
        <v>45807</v>
      </c>
    </row>
    <row r="15" spans="2:11" x14ac:dyDescent="0.2">
      <c r="H15" s="2">
        <v>0</v>
      </c>
      <c r="I15" s="31">
        <f ca="1"/>
        <v>45777</v>
      </c>
      <c r="J15" s="31">
        <f ca="1"/>
        <v>45807</v>
      </c>
    </row>
    <row r="16" spans="2:11" x14ac:dyDescent="0.2">
      <c r="H16" s="2">
        <v>0</v>
      </c>
      <c r="I16" s="31">
        <f ca="1"/>
        <v>45777</v>
      </c>
      <c r="J16" s="31">
        <f ca="1"/>
        <v>45807</v>
      </c>
    </row>
    <row r="17" spans="8:10" x14ac:dyDescent="0.2">
      <c r="H17" s="2">
        <v>0</v>
      </c>
      <c r="I17" s="31">
        <f ca="1"/>
        <v>45777</v>
      </c>
      <c r="J17" s="31">
        <f ca="1"/>
        <v>45807</v>
      </c>
    </row>
    <row r="18" spans="8:10" x14ac:dyDescent="0.2">
      <c r="H18" s="2">
        <v>0</v>
      </c>
      <c r="I18" s="31">
        <f ca="1"/>
        <v>45777</v>
      </c>
      <c r="J18" s="31">
        <f ca="1"/>
        <v>45807</v>
      </c>
    </row>
    <row r="19" spans="8:10" x14ac:dyDescent="0.2">
      <c r="H19" s="2">
        <v>0</v>
      </c>
      <c r="I19" s="31">
        <f ca="1"/>
        <v>45777</v>
      </c>
      <c r="J19" s="31">
        <f ca="1"/>
        <v>45807</v>
      </c>
    </row>
    <row r="20" spans="8:10" x14ac:dyDescent="0.2">
      <c r="H20" s="2">
        <v>0</v>
      </c>
      <c r="I20" s="31">
        <f ca="1"/>
        <v>45777</v>
      </c>
      <c r="J20" s="31">
        <f ca="1"/>
        <v>45807</v>
      </c>
    </row>
    <row r="21" spans="8:10" x14ac:dyDescent="0.2">
      <c r="H21" s="2">
        <v>0</v>
      </c>
      <c r="I21" s="31">
        <f ca="1"/>
        <v>45777</v>
      </c>
      <c r="J21" s="31">
        <f ca="1"/>
        <v>45807</v>
      </c>
    </row>
    <row r="22" spans="8:10" x14ac:dyDescent="0.2">
      <c r="H22" s="2">
        <v>0</v>
      </c>
      <c r="I22" s="31">
        <f ca="1"/>
        <v>45777</v>
      </c>
      <c r="J22" s="31">
        <f ca="1"/>
        <v>45807</v>
      </c>
    </row>
    <row r="23" spans="8:10" x14ac:dyDescent="0.2">
      <c r="H23" s="2">
        <v>0</v>
      </c>
      <c r="I23" s="31">
        <f ca="1"/>
        <v>45777</v>
      </c>
      <c r="J23" s="31">
        <f ca="1"/>
        <v>45807</v>
      </c>
    </row>
    <row r="24" spans="8:10" x14ac:dyDescent="0.2">
      <c r="H24" s="2">
        <v>0</v>
      </c>
      <c r="I24" s="31">
        <f ca="1"/>
        <v>45777</v>
      </c>
      <c r="J24" s="31">
        <f ca="1"/>
        <v>45807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M16" sqref="M16"/>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248</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P54"/>
  <sheetViews>
    <sheetView workbookViewId="0"/>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249</v>
      </c>
      <c r="F3" s="192" t="s">
        <v>232</v>
      </c>
      <c r="G3" s="39" t="s">
        <v>233</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rgb="FF0000FF"/>
  </sheetPr>
  <dimension ref="B1:F99"/>
  <sheetViews>
    <sheetView workbookViewId="0"/>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250</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rgb="FF0000FF"/>
  </sheetPr>
  <dimension ref="B1:J42"/>
  <sheetViews>
    <sheetView workbookViewId="0"/>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249</v>
      </c>
      <c r="F3" s="38" t="s">
        <v>22</v>
      </c>
      <c r="G3" s="39" t="s">
        <v>233</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rgb="FF0000FF"/>
  </sheetPr>
  <dimension ref="B1:H54"/>
  <sheetViews>
    <sheetView workbookViewId="0">
      <selection activeCell="H5" sqref="H5"/>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rgb="FF0000FF"/>
  </sheetPr>
  <dimension ref="B1:D13"/>
  <sheetViews>
    <sheetView workbookViewId="0"/>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D3" sqref="D3"/>
    </sheetView>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288</v>
      </c>
      <c r="C1" s="225" t="s">
        <v>312</v>
      </c>
      <c r="D1" s="225" t="s">
        <v>314</v>
      </c>
      <c r="E1" s="225" t="s">
        <v>313</v>
      </c>
      <c r="F1" s="225" t="s">
        <v>309</v>
      </c>
      <c r="G1" s="225" t="s">
        <v>315</v>
      </c>
      <c r="H1" s="225" t="s">
        <v>316</v>
      </c>
      <c r="I1" s="225" t="s">
        <v>311</v>
      </c>
      <c r="J1" s="225" t="s">
        <v>317</v>
      </c>
      <c r="K1" s="225" t="s">
        <v>318</v>
      </c>
      <c r="L1" s="225" t="s">
        <v>310</v>
      </c>
      <c r="M1" s="225" t="s">
        <v>319</v>
      </c>
      <c r="N1" s="225" t="s">
        <v>320</v>
      </c>
    </row>
    <row r="2" spans="1:14" x14ac:dyDescent="0.2">
      <c r="A2" s="28" t="s">
        <v>303</v>
      </c>
      <c r="B2" t="s">
        <v>267</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277</v>
      </c>
      <c r="B3" t="s">
        <v>269</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277</v>
      </c>
      <c r="B4" t="s">
        <v>277</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289</v>
      </c>
      <c r="B5" t="s">
        <v>261</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259</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291</v>
      </c>
      <c r="B8" t="s">
        <v>266</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291</v>
      </c>
      <c r="B9" t="s">
        <v>275</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291</v>
      </c>
      <c r="B10" t="s">
        <v>280</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270</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281</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290</v>
      </c>
      <c r="B16" t="s">
        <v>264</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290</v>
      </c>
      <c r="B17" t="s">
        <v>265</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290</v>
      </c>
      <c r="B18" t="s">
        <v>271</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290</v>
      </c>
      <c r="B19" t="s">
        <v>278</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290</v>
      </c>
      <c r="B20" t="s">
        <v>282</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276</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263</v>
      </c>
      <c r="B22" t="s">
        <v>263</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292</v>
      </c>
      <c r="B23" t="s">
        <v>274</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260</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262</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268</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272</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273</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279</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284</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285</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283</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H6" sqref="H6"/>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286</v>
      </c>
      <c r="B1" s="222" t="s">
        <v>286</v>
      </c>
      <c r="C1" s="222" t="s">
        <v>286</v>
      </c>
      <c r="D1" s="222" t="s">
        <v>286</v>
      </c>
      <c r="E1" s="222" t="s">
        <v>286</v>
      </c>
      <c r="F1" s="222" t="s">
        <v>286</v>
      </c>
      <c r="H1" s="223" t="s">
        <v>96</v>
      </c>
    </row>
    <row r="3" spans="1:9" s="23" customFormat="1" ht="15" x14ac:dyDescent="0.35">
      <c r="A3" s="23" t="s">
        <v>127</v>
      </c>
      <c r="B3" s="23" t="s">
        <v>3</v>
      </c>
      <c r="C3" s="23" t="s">
        <v>256</v>
      </c>
      <c r="D3" s="23" t="s">
        <v>257</v>
      </c>
      <c r="E3" s="23" t="s">
        <v>258</v>
      </c>
      <c r="F3" s="24" t="s">
        <v>8</v>
      </c>
      <c r="G3" s="24"/>
      <c r="H3" s="23" t="s">
        <v>287</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255</v>
      </c>
    </row>
    <row r="3" spans="2:3" x14ac:dyDescent="0.2">
      <c r="B3" s="28" t="s">
        <v>197</v>
      </c>
      <c r="C3" s="28" t="s">
        <v>321</v>
      </c>
    </row>
    <row r="4" spans="2:3" x14ac:dyDescent="0.2">
      <c r="B4" s="28" t="s">
        <v>197</v>
      </c>
      <c r="C4" s="28" t="s">
        <v>322</v>
      </c>
    </row>
    <row r="5" spans="2:3" x14ac:dyDescent="0.2">
      <c r="B5" s="28" t="s">
        <v>197</v>
      </c>
      <c r="C5" s="28" t="s">
        <v>333</v>
      </c>
    </row>
    <row r="6" spans="2:3" x14ac:dyDescent="0.2">
      <c r="B6" s="28" t="s">
        <v>197</v>
      </c>
      <c r="C6" s="28" t="s">
        <v>334</v>
      </c>
    </row>
    <row r="7" spans="2:3" x14ac:dyDescent="0.2">
      <c r="B7" s="28" t="s">
        <v>197</v>
      </c>
      <c r="C7" s="28" t="s">
        <v>335</v>
      </c>
    </row>
    <row r="8" spans="2:3" x14ac:dyDescent="0.2">
      <c r="B8" s="28" t="s">
        <v>197</v>
      </c>
      <c r="C8" s="28" t="s">
        <v>336</v>
      </c>
    </row>
    <row r="10" spans="2:3" x14ac:dyDescent="0.2">
      <c r="B10" s="212" t="s">
        <v>254</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252</v>
      </c>
    </row>
    <row r="6" spans="2:3" x14ac:dyDescent="0.2">
      <c r="B6" s="28" t="s">
        <v>175</v>
      </c>
    </row>
    <row r="7" spans="2:3" x14ac:dyDescent="0.2">
      <c r="B7" s="28" t="s">
        <v>196</v>
      </c>
    </row>
    <row r="8" spans="2:3" x14ac:dyDescent="0.2">
      <c r="B8" s="28" t="s">
        <v>251</v>
      </c>
    </row>
    <row r="11" spans="2:3" x14ac:dyDescent="0.2">
      <c r="B11" s="151" t="s">
        <v>218</v>
      </c>
    </row>
    <row r="12" spans="2:3" x14ac:dyDescent="0.2">
      <c r="B12" s="28" t="s">
        <v>194</v>
      </c>
      <c r="C12" s="221" t="s">
        <v>344</v>
      </c>
    </row>
    <row r="13" spans="2:3" x14ac:dyDescent="0.2">
      <c r="B13" s="28" t="s">
        <v>17</v>
      </c>
      <c r="C13" s="220">
        <v>20</v>
      </c>
    </row>
    <row r="14" spans="2:3" x14ac:dyDescent="0.2">
      <c r="B14" s="28" t="s">
        <v>6</v>
      </c>
      <c r="C14" s="221" t="s">
        <v>344</v>
      </c>
    </row>
    <row r="15" spans="2:3" x14ac:dyDescent="0.2">
      <c r="B15" s="28" t="s">
        <v>219</v>
      </c>
      <c r="C15" s="220">
        <v>50</v>
      </c>
    </row>
    <row r="16" spans="2:3" x14ac:dyDescent="0.2">
      <c r="B16" s="28" t="s">
        <v>93</v>
      </c>
      <c r="C16" s="220">
        <v>50</v>
      </c>
    </row>
    <row r="17" spans="2:3" x14ac:dyDescent="0.2">
      <c r="B17" s="28" t="s">
        <v>220</v>
      </c>
      <c r="C17" s="221" t="s">
        <v>344</v>
      </c>
    </row>
    <row r="18" spans="2:3" x14ac:dyDescent="0.2">
      <c r="B18" s="28" t="s">
        <v>221</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election activeCell="E19" sqref="E19"/>
    </sheetView>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234</v>
      </c>
      <c r="B3" s="182" t="e" cm="1" vm="1">
        <f t="array" ref="B3">TRANSPOSE(_xlfn._xlws.FILTER(Recurring!$E$4:$E$53,ISNUMBER(Recurring!$G$4:$G$53)))</f>
        <v>#VALUE!</v>
      </c>
    </row>
    <row r="4" spans="1:51" s="183" customFormat="1" x14ac:dyDescent="0.2">
      <c r="A4" s="183" t="s">
        <v>235</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2025-04-05</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2025-04-06</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2025-04-07</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2025-04-08</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2025-04-09</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2025-04-10</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2025-04-11</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2025-04-12</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2025-04-13</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2025-04-14</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2025-04-15</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2025-04-16</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2025-04-17</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2025-04-18</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2025-04-19</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2025-04-20</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2025-04-21</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2025-04-22</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2025-04-23</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2025-04-24</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2025-04-25</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2025-04-26</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2025-04-27</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2025-04-28</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2025-04-29</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2025-04-30</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2025-05-01</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2025-05-02</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2025-05-03</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2025-05-04</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2025-05-05</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2025-05-06</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2025-05-07</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2025-05-08</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2025-05-09</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2025-05-10</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2025-05-11</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2025-05-12</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2025-05-13</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2025-05-14</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2025-05-15</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2025-05-16</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2025-05-17</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2025-05-18</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2025-05-19</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2025-05-20</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2025-05-21</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2025-05-22</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2025-05-23</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2025-05-24</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2025-05-25</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2025-05-26</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2025-05-27</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2025-05-28</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2025-05-29</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2025-05-30</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2025-05-31</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2025-06-01</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2025-06-02</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2025-06-03</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2025-06-04</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2025-06-05</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2025-06-06</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2025-06-07</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2025-06-08</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2025-06-09</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2025-06-10</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2025-06-11</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2025-06-12</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2025-06-13</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2025-06-14</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2025-06-15</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2025-06-16</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2025-06-17</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2025-06-18</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2025-06-19</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2025-06-20</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2025-06-21</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2025-06-22</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2025-06-23</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2025-06-24</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2025-06-25</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2025-06-26</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2025-06-27</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2025-06-28</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2025-06-29</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2025-06-30</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2025-07-01</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2025-07-02</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2025-07-03</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2025-07-04</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2025-07-05</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2025-07-06</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2025-07-07</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2025-07-08</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2025-07-09</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2025-07-10</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2025-07-11</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2025-07-12</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2025-07-13</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2025-07-14</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2025-07-15</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2025-07-16</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2025-07-17</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2025-07-18</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2025-07-19</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2025-07-20</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2025-07-21</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2025-07-22</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2025-07-23</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2025-07-24</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2025-07-25</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2025-07-26</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2025-07-27</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2025-07-28</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2025-07-29</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2025-07-30</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2025-07-31</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2025-08-01</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2025-08-02</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2025-08-03</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2025-08-04</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2025-08-05</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2025-08-06</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2025-08-07</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2025-08-08</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2025-08-09</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2025-08-10</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2025-08-11</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2025-08-12</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2025-08-13</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2025-08-14</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2025-08-15</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2025-08-16</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2025-08-17</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2025-08-18</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2025-08-19</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2025-08-20</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2025-08-21</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2025-08-22</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2025-08-23</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2025-08-24</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2025-08-25</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2025-08-26</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2025-08-27</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2025-08-28</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2025-08-29</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2025-08-30</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2025-08-31</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2025-09-01</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2025-09-02</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2025-09-03</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2025-09-04</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2025-09-05</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2025-09-06</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2025-09-07</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2025-09-08</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2025-09-09</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2025-09-10</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2025-09-11</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2025-09-12</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2025-09-13</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2025-09-14</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2025-09-15</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2025-09-16</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2025-09-17</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2025-09-18</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2025-09-19</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2025-09-20</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2025-09-21</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2025-09-22</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2025-09-23</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2025-09-24</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2025-09-25</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2025-09-26</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2025-09-27</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2025-09-28</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2025-09-29</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2025-09-30</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2025-10-01</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2025-10-02</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2025-10-03</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2025-10-04</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2025-10-05</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2025-10-06</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2025-10-07</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2025-10-08</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2025-10-09</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2025-10-10</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2025-10-11</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2025-10-12</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2025-10-13</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2025-10-14</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2025-10-15</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2025-10-16</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2025-10-17</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2025-10-18</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2025-10-19</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2025-10-20</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2025-10-21</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2025-10-22</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2025-10-23</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2025-10-24</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2025-10-25</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2025-10-26</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2025-10-27</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2025-10-28</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2025-10-29</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2025-10-30</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2025-10-31</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2025-11-01</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2025-11-02</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2025-11-03</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2025-11-04</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2025-11-05</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2025-11-06</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2025-11-07</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2025-11-08</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2025-11-09</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2025-11-10</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2025-11-11</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2025-11-12</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2025-11-13</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2025-11-14</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2025-11-15</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2025-11-16</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2025-11-17</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2025-11-18</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2025-11-19</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2025-11-20</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2025-11-21</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2025-11-22</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2025-11-23</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2025-11-24</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2025-11-25</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2025-11-26</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2025-11-27</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2025-11-28</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2025-11-29</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2025-11-30</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2025-12-01</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2025-12-02</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2025-12-03</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2025-12-04</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2025-12-05</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2025-12-06</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2025-12-07</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2025-12-08</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2025-12-09</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2025-12-10</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2025-12-11</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2025-12-12</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2025-12-13</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2025-12-14</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2025-12-15</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2025-12-16</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2025-12-17</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2025-12-18</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2025-12-19</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2025-12-20</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2025-12-21</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2025-12-22</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2025-12-23</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2025-12-24</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2025-12-25</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2025-12-26</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2025-12-27</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2025-12-28</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2025-12-29</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2025-12-30</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2025-12-31</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2026-01-01</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2026-01-02</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2026-01-03</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2026-01-04</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2026-01-05</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2026-01-06</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2026-01-07</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2026-01-08</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2026-01-09</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2026-01-10</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2026-01-11</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2026-01-12</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2026-01-13</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2026-01-14</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2026-01-15</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2026-01-16</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2026-01-17</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2026-01-18</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2026-01-19</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2026-01-20</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2026-01-21</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2026-01-22</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2026-01-23</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2026-01-24</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2026-01-25</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2026-01-26</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2026-01-27</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2026-01-28</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2026-01-29</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2026-01-30</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2026-01-31</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2026-02-01</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2026-02-02</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2026-02-03</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2026-02-04</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2026-02-05</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2026-02-06</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2026-02-07</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2026-02-08</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2026-02-09</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2026-02-10</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2026-02-11</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2026-02-12</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2026-02-13</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2026-02-14</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2026-02-15</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2026-02-16</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2026-02-17</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2026-02-18</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2026-02-19</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2026-02-20</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2026-02-21</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2026-02-22</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2026-02-23</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2026-02-24</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2026-02-25</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2026-02-26</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2026-02-27</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2026-02-28</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2026-03-01</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2026-03-02</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2026-03-03</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2026-03-04</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2026-03-05</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2026-03-06</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2026-03-07</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2026-03-08</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2026-03-09</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2026-03-10</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2026-03-11</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2026-03-12</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2026-03-13</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2026-03-14</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2026-03-15</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2026-03-16</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2026-03-17</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2026-03-18</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2026-03-19</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2026-03-20</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2026-03-21</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2026-03-22</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2026-03-23</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2026-03-24</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2026-03-25</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2026-03-26</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2026-03-27</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2026-03-28</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2026-03-29</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2026-03-30</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2026-03-31</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2026-04-01</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2026-04-02</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2026-04-03</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2026-04-04</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2026-04-05</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2026-04-06</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234</v>
      </c>
      <c r="B3" s="182" t="e" cm="1" vm="1">
        <f t="array" ref="B3">TRANSPOSE(_xlfn._xlws.FILTER(Changes!$E$4:$E$23,ISNUMBER(Changes!$G$4:$G$23)))</f>
        <v>#VALUE!</v>
      </c>
    </row>
    <row r="4" spans="1:21" s="183" customFormat="1" x14ac:dyDescent="0.2">
      <c r="A4" s="183" t="s">
        <v>235</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2025-04-05</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2025-04-06</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2025-04-07</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2025-04-08</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2025-04-09</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2025-04-10</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2025-04-11</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2025-04-12</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2025-04-13</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2025-04-14</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2025-04-15</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2025-04-16</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2025-04-17</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2025-04-18</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2025-04-19</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2025-04-20</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2025-04-21</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2025-04-22</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2025-04-23</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2025-04-24</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2025-04-25</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2025-04-26</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2025-04-27</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2025-04-28</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2025-04-29</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2025-04-30</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2025-05-01</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2025-05-02</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2025-05-03</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2025-05-04</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2025-05-05</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2025-05-06</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2025-05-07</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2025-05-08</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2025-05-09</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2025-05-10</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2025-05-11</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2025-05-12</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2025-05-13</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2025-05-14</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2025-05-15</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2025-05-16</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2025-05-17</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2025-05-18</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2025-05-19</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2025-05-20</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2025-05-21</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2025-05-22</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2025-05-23</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2025-05-24</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2025-05-25</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2025-05-26</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2025-05-27</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2025-05-28</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2025-05-29</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2025-05-30</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2025-05-31</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2025-06-01</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2025-06-02</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2025-06-03</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2025-06-04</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2025-06-05</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2025-06-06</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2025-06-07</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2025-06-08</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2025-06-09</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2025-06-10</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2025-06-11</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2025-06-12</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2025-06-13</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2025-06-14</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2025-06-15</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2025-06-16</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2025-06-17</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2025-06-18</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2025-06-19</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2025-06-20</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2025-06-21</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2025-06-22</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2025-06-23</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2025-06-24</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2025-06-25</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2025-06-26</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2025-06-27</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2025-06-28</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2025-06-29</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2025-06-30</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2025-07-01</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2025-07-02</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2025-07-03</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2025-07-04</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2025-07-05</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2025-07-06</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2025-07-07</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2025-07-08</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2025-07-09</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2025-07-10</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2025-07-11</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2025-07-12</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2025-07-13</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2025-07-14</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2025-07-15</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2025-07-16</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2025-07-17</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2025-07-18</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2025-07-19</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2025-07-20</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2025-07-21</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2025-07-22</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2025-07-23</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2025-07-24</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2025-07-25</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2025-07-26</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2025-07-27</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2025-07-28</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2025-07-29</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2025-07-30</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2025-07-31</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2025-08-01</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2025-08-02</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2025-08-03</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2025-08-04</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2025-08-05</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2025-08-06</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2025-08-07</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2025-08-08</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2025-08-09</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2025-08-10</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2025-08-11</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2025-08-12</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2025-08-13</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2025-08-14</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2025-08-15</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2025-08-16</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2025-08-17</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2025-08-18</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2025-08-19</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2025-08-20</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2025-08-21</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2025-08-22</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2025-08-23</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2025-08-24</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2025-08-25</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2025-08-26</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2025-08-27</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2025-08-28</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2025-08-29</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2025-08-30</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2025-08-31</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2025-09-01</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2025-09-02</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2025-09-03</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2025-09-04</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2025-09-05</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2025-09-06</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2025-09-07</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2025-09-08</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2025-09-09</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2025-09-10</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2025-09-11</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2025-09-12</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2025-09-13</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2025-09-14</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2025-09-15</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2025-09-16</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2025-09-17</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2025-09-18</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2025-09-19</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2025-09-20</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2025-09-21</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2025-09-22</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2025-09-23</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2025-09-24</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2025-09-25</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2025-09-26</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2025-09-27</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2025-09-28</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2025-09-29</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2025-09-30</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2025-10-01</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2025-10-02</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2025-10-03</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2025-10-04</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2025-10-05</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2025-10-06</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2025-10-07</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2025-10-08</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2025-10-09</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2025-10-10</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2025-10-11</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2025-10-12</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2025-10-13</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2025-10-14</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2025-10-15</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2025-10-16</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2025-10-17</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2025-10-18</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2025-10-19</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2025-10-20</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2025-10-21</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2025-10-22</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2025-10-23</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2025-10-24</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2025-10-25</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2025-10-26</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2025-10-27</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2025-10-28</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2025-10-29</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2025-10-30</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2025-10-31</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2025-11-01</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2025-11-02</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2025-11-03</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2025-11-04</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2025-11-05</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2025-11-06</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2025-11-07</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2025-11-08</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2025-11-09</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2025-11-10</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2025-11-11</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2025-11-12</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2025-11-13</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2025-11-14</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2025-11-15</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2025-11-16</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2025-11-17</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2025-11-18</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2025-11-19</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2025-11-20</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2025-11-21</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2025-11-22</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2025-11-23</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2025-11-24</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2025-11-25</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2025-11-26</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2025-11-27</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2025-11-28</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2025-11-29</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2025-11-30</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2025-12-01</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2025-12-02</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2025-12-03</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2025-12-04</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2025-12-05</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2025-12-06</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2025-12-07</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2025-12-08</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2025-12-09</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2025-12-10</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2025-12-11</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2025-12-12</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2025-12-13</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2025-12-14</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2025-12-15</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2025-12-16</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2025-12-17</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2025-12-18</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2025-12-19</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2025-12-20</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2025-12-21</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2025-12-22</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2025-12-23</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2025-12-24</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2025-12-25</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2025-12-26</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2025-12-27</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2025-12-28</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2025-12-29</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2025-12-30</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2025-12-31</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2026-01-01</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2026-01-02</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2026-01-03</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2026-01-04</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2026-01-05</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2026-01-06</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2026-01-07</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2026-01-08</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2026-01-09</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2026-01-10</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2026-01-11</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2026-01-12</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2026-01-13</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2026-01-14</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2026-01-15</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2026-01-16</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2026-01-17</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2026-01-18</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2026-01-19</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2026-01-20</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2026-01-21</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2026-01-22</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2026-01-23</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2026-01-24</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2026-01-25</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2026-01-26</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2026-01-27</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2026-01-28</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2026-01-29</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2026-01-30</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2026-01-31</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2026-02-01</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2026-02-02</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2026-02-03</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2026-02-04</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2026-02-05</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2026-02-06</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2026-02-07</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2026-02-08</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2026-02-09</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2026-02-10</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2026-02-11</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2026-02-12</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2026-02-13</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2026-02-14</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2026-02-15</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2026-02-16</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2026-02-17</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2026-02-18</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2026-02-19</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2026-02-20</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2026-02-21</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2026-02-22</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2026-02-23</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2026-02-24</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2026-02-25</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2026-02-26</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2026-02-27</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2026-02-28</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2026-03-01</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2026-03-02</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2026-03-03</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2026-03-04</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2026-03-05</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2026-03-06</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2026-03-07</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2026-03-08</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2026-03-09</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2026-03-10</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2026-03-11</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2026-03-12</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2026-03-13</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2026-03-14</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2026-03-15</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2026-03-16</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2026-03-17</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2026-03-18</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2026-03-19</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2026-03-20</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2026-03-21</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2026-03-22</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2026-03-23</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2026-03-24</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2026-03-25</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2026-03-26</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2026-03-27</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2026-03-28</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2026-03-29</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2026-03-30</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2026-03-31</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2026-04-01</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2026-04-02</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2026-04-03</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2026-04-04</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2026-04-05</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2026-04-06</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2026-04-07</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2026-04-08</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45752</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45753</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45754</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45755</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45756</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45757</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45758</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45759</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45760</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45761</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45762</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45763</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45764</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45765</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45766</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45767</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45768</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45769</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45770</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45771</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45772</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45773</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45774</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45775</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45776</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45777</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45778</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45779</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45780</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45781</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45782</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45783</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45784</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45785</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45786</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45787</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45788</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45789</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45790</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45791</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45792</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45793</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45794</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45795</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45796</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45797</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45798</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45799</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45800</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45801</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45802</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45803</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45804</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45805</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45806</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45807</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45808</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45809</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45810</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45811</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45812</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45813</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45814</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45815</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45816</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45817</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45818</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45819</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45820</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45821</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45822</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45823</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45824</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45825</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45826</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45827</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45828</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45829</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45830</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45831</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45832</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45833</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45834</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45835</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45836</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45837</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45838</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45839</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45840</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45841</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45842</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45843</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45844</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45845</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45846</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45847</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45848</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45849</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45850</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45851</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45852</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45853</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45854</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45855</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45856</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45857</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45858</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45859</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45860</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45861</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45862</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45863</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45864</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45865</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45866</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45867</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45868</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45869</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45870</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45871</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45872</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45873</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45874</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45875</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45876</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45877</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45878</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45879</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45880</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45881</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45882</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45883</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45884</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45885</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45886</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45887</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45888</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45889</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45890</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45891</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45892</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45893</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45894</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45895</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45896</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45897</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45898</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45899</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45900</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45901</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45902</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45903</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45904</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45905</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45906</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45907</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45908</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45909</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45910</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45911</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45912</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45913</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45914</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45915</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45916</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45917</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45918</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45919</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45920</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45921</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45922</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45923</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45924</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45925</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45926</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45927</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45928</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45929</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45930</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45931</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45932</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45933</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45934</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45935</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45936</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45937</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45938</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45939</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45940</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45941</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45942</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45943</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45944</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45945</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45946</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45947</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45948</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45949</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45950</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45951</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45952</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45953</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45954</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45955</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45956</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45957</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45958</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45959</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45960</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45961</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45962</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45963</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45964</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45965</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45966</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45967</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45968</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45969</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45970</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45971</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45972</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45973</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45974</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45975</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45976</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45977</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45978</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45979</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45980</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45981</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45982</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45983</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45984</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45985</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45986</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45987</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45988</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45989</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45990</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45991</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45992</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45993</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45994</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45995</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45996</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45997</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45998</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45999</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46000</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46001</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46002</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46003</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46004</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46005</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46006</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46007</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46008</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46009</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46010</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46011</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46012</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46013</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46014</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46015</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46016</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46017</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46018</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46019</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46020</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46021</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46022</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46023</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46024</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46025</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46026</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46027</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46028</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46029</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46030</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46031</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46032</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46033</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46034</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46035</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46036</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46037</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46038</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46039</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46040</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46041</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46042</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46043</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46044</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46045</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46046</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46047</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46048</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46049</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46050</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46051</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46052</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46053</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46054</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46055</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46056</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46057</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46058</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46059</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46060</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46061</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46062</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46063</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46064</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46065</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46066</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46067</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46068</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46069</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46070</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46071</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46072</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46073</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46074</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46075</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46076</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46077</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46078</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46079</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46080</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46081</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46082</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46083</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46084</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46085</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46086</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46087</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46088</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46089</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46090</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46091</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46092</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46093</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46094</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46095</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46096</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46097</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46098</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46099</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46100</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46101</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46102</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46103</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46104</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46105</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46106</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46107</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46108</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46109</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46110</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46111</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46112</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46113</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46114</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46115</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46116</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46117</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46118</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294</v>
      </c>
      <c r="B1" s="23" t="s">
        <v>295</v>
      </c>
      <c r="C1" s="23" t="s">
        <v>296</v>
      </c>
      <c r="D1" s="23" t="s">
        <v>174</v>
      </c>
      <c r="E1" s="23" t="s">
        <v>293</v>
      </c>
    </row>
    <row r="2" spans="1:5" x14ac:dyDescent="0.2">
      <c r="A2" s="28" t="s">
        <v>214</v>
      </c>
      <c r="B2" t="s">
        <v>151</v>
      </c>
      <c r="C2" s="28" t="s">
        <v>118</v>
      </c>
      <c r="D2" t="s">
        <v>7</v>
      </c>
    </row>
    <row r="3" spans="1:5" x14ac:dyDescent="0.2">
      <c r="A3" s="28" t="s">
        <v>214</v>
      </c>
      <c r="B3" t="s">
        <v>151</v>
      </c>
      <c r="C3" s="28" t="s">
        <v>118</v>
      </c>
      <c r="D3" t="s">
        <v>31</v>
      </c>
    </row>
    <row r="4" spans="1:5" x14ac:dyDescent="0.2">
      <c r="A4" s="28" t="s">
        <v>214</v>
      </c>
      <c r="B4" t="s">
        <v>151</v>
      </c>
      <c r="C4" s="28" t="s">
        <v>118</v>
      </c>
      <c r="D4" t="s">
        <v>30</v>
      </c>
    </row>
    <row r="5" spans="1:5" x14ac:dyDescent="0.2">
      <c r="A5" s="28" t="s">
        <v>214</v>
      </c>
      <c r="B5" t="s">
        <v>151</v>
      </c>
      <c r="C5" s="28" t="s">
        <v>118</v>
      </c>
      <c r="D5" t="s">
        <v>152</v>
      </c>
      <c r="E5" t="s">
        <v>153</v>
      </c>
    </row>
    <row r="6" spans="1:5" x14ac:dyDescent="0.2">
      <c r="A6" s="28" t="s">
        <v>214</v>
      </c>
      <c r="B6" t="s">
        <v>151</v>
      </c>
      <c r="C6" s="28" t="s">
        <v>118</v>
      </c>
      <c r="D6" t="s">
        <v>152</v>
      </c>
      <c r="E6" t="s">
        <v>154</v>
      </c>
    </row>
    <row r="7" spans="1:5" x14ac:dyDescent="0.2">
      <c r="A7" s="28"/>
      <c r="C7" s="28"/>
    </row>
    <row r="8" spans="1:5" x14ac:dyDescent="0.2">
      <c r="A8" s="28" t="s">
        <v>213</v>
      </c>
      <c r="B8" t="s">
        <v>85</v>
      </c>
      <c r="C8" t="s">
        <v>93</v>
      </c>
      <c r="D8" s="28" t="s">
        <v>303</v>
      </c>
      <c r="E8" t="s">
        <v>159</v>
      </c>
    </row>
    <row r="9" spans="1:5" x14ac:dyDescent="0.2">
      <c r="A9" s="28" t="s">
        <v>213</v>
      </c>
      <c r="B9" t="s">
        <v>85</v>
      </c>
      <c r="C9" t="s">
        <v>93</v>
      </c>
      <c r="D9" s="28" t="s">
        <v>303</v>
      </c>
      <c r="E9" t="s">
        <v>82</v>
      </c>
    </row>
    <row r="10" spans="1:5" x14ac:dyDescent="0.2">
      <c r="A10" s="28" t="s">
        <v>213</v>
      </c>
      <c r="B10" t="s">
        <v>85</v>
      </c>
      <c r="C10" t="s">
        <v>93</v>
      </c>
      <c r="D10" s="28" t="s">
        <v>303</v>
      </c>
      <c r="E10" t="s">
        <v>18</v>
      </c>
    </row>
    <row r="11" spans="1:5" x14ac:dyDescent="0.2">
      <c r="A11" s="28" t="s">
        <v>213</v>
      </c>
      <c r="B11" t="s">
        <v>85</v>
      </c>
      <c r="C11" t="s">
        <v>93</v>
      </c>
      <c r="D11" s="28" t="s">
        <v>303</v>
      </c>
      <c r="E11" t="s">
        <v>83</v>
      </c>
    </row>
    <row r="12" spans="1:5" x14ac:dyDescent="0.2">
      <c r="A12" s="28" t="s">
        <v>213</v>
      </c>
      <c r="B12" s="28" t="s">
        <v>85</v>
      </c>
      <c r="C12" s="28" t="s">
        <v>93</v>
      </c>
      <c r="D12" s="28" t="s">
        <v>27</v>
      </c>
    </row>
    <row r="13" spans="1:5" x14ac:dyDescent="0.2">
      <c r="A13" s="28"/>
      <c r="B13" s="28"/>
      <c r="C13" s="28"/>
      <c r="D13" s="28"/>
    </row>
    <row r="14" spans="1:5" x14ac:dyDescent="0.2">
      <c r="A14" s="28" t="s">
        <v>213</v>
      </c>
      <c r="B14" t="s">
        <v>85</v>
      </c>
      <c r="C14" t="s">
        <v>94</v>
      </c>
      <c r="D14" t="s">
        <v>9</v>
      </c>
      <c r="E14" t="s">
        <v>9</v>
      </c>
    </row>
    <row r="15" spans="1:5" x14ac:dyDescent="0.2">
      <c r="A15" s="28" t="s">
        <v>213</v>
      </c>
      <c r="B15" t="s">
        <v>85</v>
      </c>
      <c r="C15" t="s">
        <v>94</v>
      </c>
      <c r="D15" s="28" t="s">
        <v>167</v>
      </c>
      <c r="E15" t="s">
        <v>10</v>
      </c>
    </row>
    <row r="16" spans="1:5" x14ac:dyDescent="0.2">
      <c r="A16" s="28" t="s">
        <v>213</v>
      </c>
      <c r="B16" t="s">
        <v>85</v>
      </c>
      <c r="C16" t="s">
        <v>94</v>
      </c>
      <c r="D16" t="s">
        <v>11</v>
      </c>
      <c r="E16" t="s">
        <v>11</v>
      </c>
    </row>
    <row r="17" spans="1:5" x14ac:dyDescent="0.2">
      <c r="A17" s="28" t="s">
        <v>213</v>
      </c>
      <c r="B17" t="s">
        <v>85</v>
      </c>
      <c r="C17" t="s">
        <v>94</v>
      </c>
      <c r="D17" t="s">
        <v>12</v>
      </c>
      <c r="E17" t="s">
        <v>12</v>
      </c>
    </row>
    <row r="18" spans="1:5" x14ac:dyDescent="0.2">
      <c r="A18" s="28" t="s">
        <v>213</v>
      </c>
      <c r="B18" t="s">
        <v>85</v>
      </c>
      <c r="C18" t="s">
        <v>94</v>
      </c>
      <c r="D18" t="s">
        <v>84</v>
      </c>
      <c r="E18" t="s">
        <v>84</v>
      </c>
    </row>
    <row r="19" spans="1:5" x14ac:dyDescent="0.2">
      <c r="A19" s="28" t="s">
        <v>213</v>
      </c>
      <c r="B19" s="28" t="s">
        <v>85</v>
      </c>
      <c r="C19" t="s">
        <v>94</v>
      </c>
      <c r="D19" s="28" t="s">
        <v>28</v>
      </c>
    </row>
    <row r="20" spans="1:5" x14ac:dyDescent="0.2">
      <c r="A20" s="28"/>
      <c r="B20" s="28"/>
      <c r="D20" s="28"/>
    </row>
    <row r="21" spans="1:5" x14ac:dyDescent="0.2">
      <c r="A21" s="28" t="s">
        <v>213</v>
      </c>
      <c r="B21" s="28" t="s">
        <v>299</v>
      </c>
      <c r="C21" s="28" t="s">
        <v>93</v>
      </c>
      <c r="D21" s="28" t="s">
        <v>6</v>
      </c>
      <c r="E21" s="28" t="s">
        <v>301</v>
      </c>
    </row>
    <row r="22" spans="1:5" x14ac:dyDescent="0.2">
      <c r="A22" s="28" t="s">
        <v>213</v>
      </c>
      <c r="B22" s="28" t="s">
        <v>299</v>
      </c>
      <c r="C22" s="28" t="s">
        <v>94</v>
      </c>
      <c r="D22" s="28" t="s">
        <v>17</v>
      </c>
      <c r="E22" s="28" t="s">
        <v>300</v>
      </c>
    </row>
    <row r="23" spans="1:5" x14ac:dyDescent="0.2">
      <c r="A23" s="28"/>
      <c r="B23" s="28"/>
      <c r="C23" s="28"/>
      <c r="D23" s="28"/>
      <c r="E23" s="28"/>
    </row>
    <row r="24" spans="1:5" x14ac:dyDescent="0.2">
      <c r="A24" s="28" t="s">
        <v>213</v>
      </c>
      <c r="B24" s="28" t="s">
        <v>297</v>
      </c>
      <c r="C24" s="28" t="s">
        <v>241</v>
      </c>
      <c r="D24" s="28" t="s">
        <v>87</v>
      </c>
    </row>
    <row r="25" spans="1:5" x14ac:dyDescent="0.2">
      <c r="A25" s="28"/>
      <c r="B25" s="28"/>
      <c r="C25" s="28"/>
      <c r="D25" s="28"/>
    </row>
    <row r="26" spans="1:5" x14ac:dyDescent="0.2">
      <c r="A26" s="28" t="s">
        <v>213</v>
      </c>
      <c r="B26" s="28" t="s">
        <v>297</v>
      </c>
      <c r="C26" t="s">
        <v>94</v>
      </c>
      <c r="D26" s="28" t="s">
        <v>289</v>
      </c>
      <c r="E26" t="s">
        <v>74</v>
      </c>
    </row>
    <row r="27" spans="1:5" x14ac:dyDescent="0.2">
      <c r="A27" s="28" t="s">
        <v>213</v>
      </c>
      <c r="B27" s="28" t="s">
        <v>297</v>
      </c>
      <c r="C27" t="s">
        <v>94</v>
      </c>
      <c r="D27" s="28" t="s">
        <v>289</v>
      </c>
      <c r="E27" t="s">
        <v>75</v>
      </c>
    </row>
    <row r="28" spans="1:5" x14ac:dyDescent="0.2">
      <c r="A28" s="28" t="s">
        <v>213</v>
      </c>
      <c r="B28" s="28" t="s">
        <v>297</v>
      </c>
      <c r="C28" t="s">
        <v>94</v>
      </c>
      <c r="D28" t="s">
        <v>32</v>
      </c>
      <c r="E28" t="s">
        <v>77</v>
      </c>
    </row>
    <row r="29" spans="1:5" x14ac:dyDescent="0.2">
      <c r="A29" s="28" t="s">
        <v>213</v>
      </c>
      <c r="B29" s="28" t="s">
        <v>297</v>
      </c>
      <c r="C29" t="s">
        <v>94</v>
      </c>
      <c r="D29" s="28" t="s">
        <v>263</v>
      </c>
      <c r="E29" s="28" t="s">
        <v>305</v>
      </c>
    </row>
    <row r="30" spans="1:5" x14ac:dyDescent="0.2">
      <c r="A30" s="28" t="s">
        <v>213</v>
      </c>
      <c r="B30" s="28" t="s">
        <v>297</v>
      </c>
      <c r="C30" t="s">
        <v>94</v>
      </c>
      <c r="D30" s="28" t="s">
        <v>263</v>
      </c>
      <c r="E30" s="28" t="s">
        <v>306</v>
      </c>
    </row>
    <row r="31" spans="1:5" x14ac:dyDescent="0.2">
      <c r="A31" s="28" t="s">
        <v>213</v>
      </c>
      <c r="B31" s="28" t="s">
        <v>297</v>
      </c>
      <c r="C31" t="s">
        <v>94</v>
      </c>
      <c r="D31" s="28" t="s">
        <v>290</v>
      </c>
      <c r="E31" s="28" t="s">
        <v>308</v>
      </c>
    </row>
    <row r="32" spans="1:5" x14ac:dyDescent="0.2">
      <c r="A32" s="28"/>
      <c r="B32" s="28"/>
    </row>
    <row r="33" spans="1:5" x14ac:dyDescent="0.2">
      <c r="A33" s="28" t="s">
        <v>213</v>
      </c>
      <c r="B33" s="28" t="s">
        <v>297</v>
      </c>
      <c r="C33" t="s">
        <v>93</v>
      </c>
      <c r="D33" t="s">
        <v>2</v>
      </c>
      <c r="E33" t="s">
        <v>73</v>
      </c>
    </row>
    <row r="34" spans="1:5" x14ac:dyDescent="0.2">
      <c r="A34" s="28" t="s">
        <v>213</v>
      </c>
      <c r="B34" s="28" t="s">
        <v>297</v>
      </c>
      <c r="C34" t="s">
        <v>93</v>
      </c>
      <c r="D34" s="28" t="s">
        <v>277</v>
      </c>
      <c r="E34" t="s">
        <v>76</v>
      </c>
    </row>
    <row r="35" spans="1:5" x14ac:dyDescent="0.2">
      <c r="A35" s="28" t="s">
        <v>213</v>
      </c>
      <c r="B35" s="28" t="s">
        <v>297</v>
      </c>
      <c r="C35" t="s">
        <v>93</v>
      </c>
      <c r="D35" s="28" t="s">
        <v>277</v>
      </c>
      <c r="E35" t="s">
        <v>78</v>
      </c>
    </row>
    <row r="36" spans="1:5" x14ac:dyDescent="0.2">
      <c r="A36" s="28" t="s">
        <v>213</v>
      </c>
      <c r="B36" s="28" t="s">
        <v>297</v>
      </c>
      <c r="C36" t="s">
        <v>93</v>
      </c>
      <c r="D36" s="28" t="s">
        <v>277</v>
      </c>
      <c r="E36" t="s">
        <v>79</v>
      </c>
    </row>
    <row r="37" spans="1:5" x14ac:dyDescent="0.2">
      <c r="A37" s="28" t="s">
        <v>213</v>
      </c>
      <c r="B37" s="28" t="s">
        <v>297</v>
      </c>
      <c r="C37" t="s">
        <v>93</v>
      </c>
      <c r="D37" s="28" t="s">
        <v>277</v>
      </c>
      <c r="E37" t="s">
        <v>80</v>
      </c>
    </row>
    <row r="38" spans="1:5" x14ac:dyDescent="0.2">
      <c r="A38" s="28" t="s">
        <v>213</v>
      </c>
      <c r="B38" s="28" t="s">
        <v>297</v>
      </c>
      <c r="C38" t="s">
        <v>93</v>
      </c>
      <c r="D38" t="s">
        <v>2</v>
      </c>
      <c r="E38" t="s">
        <v>81</v>
      </c>
    </row>
    <row r="39" spans="1:5" x14ac:dyDescent="0.2">
      <c r="A39" s="28" t="s">
        <v>213</v>
      </c>
      <c r="B39" s="28" t="s">
        <v>297</v>
      </c>
      <c r="C39" t="s">
        <v>93</v>
      </c>
      <c r="D39" s="28" t="s">
        <v>292</v>
      </c>
    </row>
    <row r="40" spans="1:5" x14ac:dyDescent="0.2">
      <c r="A40" s="28" t="s">
        <v>213</v>
      </c>
      <c r="B40" s="28" t="s">
        <v>297</v>
      </c>
      <c r="C40" t="s">
        <v>93</v>
      </c>
      <c r="D40" s="28" t="s">
        <v>290</v>
      </c>
      <c r="E40" s="28" t="s">
        <v>307</v>
      </c>
    </row>
    <row r="41" spans="1:5" x14ac:dyDescent="0.2">
      <c r="A41" s="28"/>
      <c r="B41" s="28"/>
      <c r="C41" s="28"/>
      <c r="D41" s="28"/>
    </row>
    <row r="42" spans="1:5" x14ac:dyDescent="0.2">
      <c r="A42" s="28" t="s">
        <v>213</v>
      </c>
      <c r="B42" t="s">
        <v>16</v>
      </c>
      <c r="C42" t="s">
        <v>93</v>
      </c>
      <c r="D42" t="s">
        <v>88</v>
      </c>
      <c r="E42" s="28" t="s">
        <v>238</v>
      </c>
    </row>
    <row r="43" spans="1:5" x14ac:dyDescent="0.2">
      <c r="A43" s="28" t="s">
        <v>213</v>
      </c>
      <c r="B43" t="s">
        <v>16</v>
      </c>
      <c r="C43" t="s">
        <v>93</v>
      </c>
      <c r="D43" t="s">
        <v>89</v>
      </c>
      <c r="E43" s="28" t="s">
        <v>239</v>
      </c>
    </row>
    <row r="44" spans="1:5" x14ac:dyDescent="0.2">
      <c r="A44" s="28" t="s">
        <v>213</v>
      </c>
      <c r="B44" t="s">
        <v>16</v>
      </c>
      <c r="C44" t="s">
        <v>93</v>
      </c>
      <c r="D44" t="s">
        <v>89</v>
      </c>
      <c r="E44" s="28" t="s">
        <v>240</v>
      </c>
    </row>
    <row r="45" spans="1:5" x14ac:dyDescent="0.2">
      <c r="A45" s="28"/>
      <c r="E45" s="28"/>
    </row>
    <row r="46" spans="1:5" x14ac:dyDescent="0.2">
      <c r="A46" s="28" t="s">
        <v>213</v>
      </c>
      <c r="B46" s="28" t="s">
        <v>302</v>
      </c>
      <c r="C46" s="28" t="s">
        <v>241</v>
      </c>
      <c r="D46" t="s">
        <v>90</v>
      </c>
    </row>
    <row r="47" spans="1:5" x14ac:dyDescent="0.2">
      <c r="A47" s="28"/>
      <c r="B47" s="28"/>
      <c r="C47" s="28"/>
    </row>
    <row r="48" spans="1:5" x14ac:dyDescent="0.2">
      <c r="A48" s="28" t="s">
        <v>213</v>
      </c>
      <c r="B48" s="28" t="s">
        <v>298</v>
      </c>
      <c r="C48" s="28" t="s">
        <v>241</v>
      </c>
      <c r="D48" s="28" t="s">
        <v>23</v>
      </c>
    </row>
    <row r="49" spans="1:5" x14ac:dyDescent="0.2">
      <c r="A49" s="28" t="s">
        <v>213</v>
      </c>
      <c r="B49" s="28" t="s">
        <v>298</v>
      </c>
      <c r="C49" s="28" t="s">
        <v>241</v>
      </c>
      <c r="D49" t="s">
        <v>95</v>
      </c>
      <c r="E49" t="s">
        <v>60</v>
      </c>
    </row>
    <row r="50" spans="1:5" x14ac:dyDescent="0.2">
      <c r="A50" s="28" t="s">
        <v>213</v>
      </c>
      <c r="B50" s="28" t="s">
        <v>298</v>
      </c>
      <c r="C50" s="28" t="s">
        <v>241</v>
      </c>
      <c r="D50" t="s">
        <v>95</v>
      </c>
      <c r="E50" t="s">
        <v>61</v>
      </c>
    </row>
    <row r="51" spans="1:5" x14ac:dyDescent="0.2">
      <c r="A51" s="28" t="s">
        <v>213</v>
      </c>
      <c r="B51" s="28" t="s">
        <v>298</v>
      </c>
      <c r="C51" s="28" t="s">
        <v>241</v>
      </c>
      <c r="D51" t="s">
        <v>95</v>
      </c>
      <c r="E51" t="s">
        <v>62</v>
      </c>
    </row>
    <row r="52" spans="1:5" x14ac:dyDescent="0.2">
      <c r="A52" s="28" t="s">
        <v>213</v>
      </c>
      <c r="B52" s="28" t="s">
        <v>298</v>
      </c>
      <c r="C52" s="28" t="s">
        <v>241</v>
      </c>
      <c r="D52" t="s">
        <v>95</v>
      </c>
      <c r="E52" t="s">
        <v>63</v>
      </c>
    </row>
    <row r="53" spans="1:5" x14ac:dyDescent="0.2">
      <c r="A53" s="28"/>
      <c r="B53" s="28"/>
      <c r="C53" s="28"/>
    </row>
    <row r="54" spans="1:5" x14ac:dyDescent="0.2">
      <c r="A54" s="28" t="s">
        <v>213</v>
      </c>
      <c r="B54" s="28" t="s">
        <v>298</v>
      </c>
      <c r="C54" t="s">
        <v>94</v>
      </c>
      <c r="D54" t="s">
        <v>32</v>
      </c>
      <c r="E54" t="s">
        <v>157</v>
      </c>
    </row>
    <row r="55" spans="1:5" x14ac:dyDescent="0.2">
      <c r="A55" s="28" t="s">
        <v>213</v>
      </c>
      <c r="B55" s="28" t="s">
        <v>298</v>
      </c>
      <c r="C55" t="s">
        <v>94</v>
      </c>
      <c r="D55" t="s">
        <v>20</v>
      </c>
      <c r="E55" t="s">
        <v>158</v>
      </c>
    </row>
    <row r="56" spans="1:5" x14ac:dyDescent="0.2">
      <c r="A56" s="28" t="s">
        <v>213</v>
      </c>
      <c r="B56" s="28" t="s">
        <v>298</v>
      </c>
      <c r="C56" t="s">
        <v>94</v>
      </c>
      <c r="D56" s="28" t="s">
        <v>166</v>
      </c>
    </row>
    <row r="57" spans="1:5" x14ac:dyDescent="0.2">
      <c r="A57" s="28"/>
      <c r="B57" s="28"/>
      <c r="D57" s="28"/>
    </row>
    <row r="58" spans="1:5" x14ac:dyDescent="0.2">
      <c r="A58" s="28" t="s">
        <v>213</v>
      </c>
      <c r="B58" s="28" t="s">
        <v>298</v>
      </c>
      <c r="C58" t="s">
        <v>93</v>
      </c>
      <c r="D58" t="s">
        <v>32</v>
      </c>
      <c r="E58" t="s">
        <v>0</v>
      </c>
    </row>
    <row r="59" spans="1:5" x14ac:dyDescent="0.2">
      <c r="A59" s="28" t="s">
        <v>213</v>
      </c>
      <c r="B59" s="28" t="s">
        <v>298</v>
      </c>
      <c r="C59" t="s">
        <v>93</v>
      </c>
      <c r="D59" t="s">
        <v>32</v>
      </c>
      <c r="E59" t="s">
        <v>48</v>
      </c>
    </row>
    <row r="60" spans="1:5" x14ac:dyDescent="0.2">
      <c r="A60" s="28" t="s">
        <v>213</v>
      </c>
      <c r="B60" s="28" t="s">
        <v>298</v>
      </c>
      <c r="C60" t="s">
        <v>93</v>
      </c>
      <c r="D60" t="s">
        <v>32</v>
      </c>
      <c r="E60" t="s">
        <v>49</v>
      </c>
    </row>
    <row r="61" spans="1:5" x14ac:dyDescent="0.2">
      <c r="A61" s="28" t="s">
        <v>213</v>
      </c>
      <c r="B61" s="28" t="s">
        <v>298</v>
      </c>
      <c r="C61" t="s">
        <v>93</v>
      </c>
      <c r="D61" t="s">
        <v>32</v>
      </c>
      <c r="E61" t="s">
        <v>50</v>
      </c>
    </row>
    <row r="62" spans="1:5" x14ac:dyDescent="0.2">
      <c r="A62" s="28" t="s">
        <v>213</v>
      </c>
      <c r="B62" s="28" t="s">
        <v>298</v>
      </c>
      <c r="C62" t="s">
        <v>93</v>
      </c>
      <c r="D62" t="s">
        <v>32</v>
      </c>
      <c r="E62" t="s">
        <v>51</v>
      </c>
    </row>
    <row r="63" spans="1:5" x14ac:dyDescent="0.2">
      <c r="A63" s="28" t="s">
        <v>213</v>
      </c>
      <c r="B63" s="28" t="s">
        <v>298</v>
      </c>
      <c r="C63" t="s">
        <v>93</v>
      </c>
      <c r="D63" s="28" t="s">
        <v>277</v>
      </c>
      <c r="E63" t="s">
        <v>155</v>
      </c>
    </row>
    <row r="64" spans="1:5" x14ac:dyDescent="0.2">
      <c r="A64" s="28" t="s">
        <v>213</v>
      </c>
      <c r="B64" s="28" t="s">
        <v>298</v>
      </c>
      <c r="C64" t="s">
        <v>93</v>
      </c>
      <c r="D64" s="28" t="s">
        <v>277</v>
      </c>
      <c r="E64" s="28" t="s">
        <v>236</v>
      </c>
    </row>
    <row r="65" spans="1:5" x14ac:dyDescent="0.2">
      <c r="A65" s="28" t="s">
        <v>213</v>
      </c>
      <c r="B65" s="28" t="s">
        <v>298</v>
      </c>
      <c r="C65" t="s">
        <v>93</v>
      </c>
      <c r="D65" s="28" t="s">
        <v>277</v>
      </c>
      <c r="E65" t="s">
        <v>52</v>
      </c>
    </row>
    <row r="66" spans="1:5" x14ac:dyDescent="0.2">
      <c r="A66" s="28" t="s">
        <v>213</v>
      </c>
      <c r="B66" s="28" t="s">
        <v>298</v>
      </c>
      <c r="C66" t="s">
        <v>93</v>
      </c>
      <c r="D66" t="s">
        <v>20</v>
      </c>
      <c r="E66" t="s">
        <v>53</v>
      </c>
    </row>
    <row r="67" spans="1:5" x14ac:dyDescent="0.2">
      <c r="A67" s="28" t="s">
        <v>213</v>
      </c>
      <c r="B67" s="28" t="s">
        <v>298</v>
      </c>
      <c r="C67" t="s">
        <v>93</v>
      </c>
      <c r="D67" t="s">
        <v>20</v>
      </c>
      <c r="E67" t="s">
        <v>156</v>
      </c>
    </row>
    <row r="68" spans="1:5" x14ac:dyDescent="0.2">
      <c r="A68" s="28" t="s">
        <v>213</v>
      </c>
      <c r="B68" s="28" t="s">
        <v>298</v>
      </c>
      <c r="C68" t="s">
        <v>93</v>
      </c>
      <c r="D68" t="s">
        <v>20</v>
      </c>
      <c r="E68" t="s">
        <v>54</v>
      </c>
    </row>
    <row r="69" spans="1:5" x14ac:dyDescent="0.2">
      <c r="A69" s="28" t="s">
        <v>213</v>
      </c>
      <c r="B69" s="28" t="s">
        <v>298</v>
      </c>
      <c r="C69" t="s">
        <v>93</v>
      </c>
      <c r="D69" t="s">
        <v>20</v>
      </c>
      <c r="E69" s="28" t="s">
        <v>237</v>
      </c>
    </row>
    <row r="70" spans="1:5" x14ac:dyDescent="0.2">
      <c r="A70" s="28" t="s">
        <v>213</v>
      </c>
      <c r="B70" s="28" t="s">
        <v>298</v>
      </c>
      <c r="C70" t="s">
        <v>93</v>
      </c>
      <c r="D70" s="28" t="s">
        <v>291</v>
      </c>
      <c r="E70" t="s">
        <v>55</v>
      </c>
    </row>
    <row r="71" spans="1:5" x14ac:dyDescent="0.2">
      <c r="A71" s="28" t="s">
        <v>213</v>
      </c>
      <c r="B71" s="28" t="s">
        <v>298</v>
      </c>
      <c r="C71" t="s">
        <v>93</v>
      </c>
      <c r="D71" s="28" t="s">
        <v>291</v>
      </c>
      <c r="E71" t="s">
        <v>56</v>
      </c>
    </row>
    <row r="72" spans="1:5" x14ac:dyDescent="0.2">
      <c r="A72" s="28" t="s">
        <v>213</v>
      </c>
      <c r="B72" s="28" t="s">
        <v>298</v>
      </c>
      <c r="C72" t="s">
        <v>93</v>
      </c>
      <c r="D72" t="s">
        <v>1</v>
      </c>
      <c r="E72" t="s">
        <v>57</v>
      </c>
    </row>
    <row r="73" spans="1:5" x14ac:dyDescent="0.2">
      <c r="A73" s="28" t="s">
        <v>213</v>
      </c>
      <c r="B73" s="28" t="s">
        <v>298</v>
      </c>
      <c r="C73" t="s">
        <v>93</v>
      </c>
      <c r="D73" t="s">
        <v>1</v>
      </c>
      <c r="E73" t="s">
        <v>58</v>
      </c>
    </row>
    <row r="74" spans="1:5" x14ac:dyDescent="0.2">
      <c r="A74" s="28" t="s">
        <v>213</v>
      </c>
      <c r="B74" s="28" t="s">
        <v>298</v>
      </c>
      <c r="C74" t="s">
        <v>93</v>
      </c>
      <c r="D74" s="28" t="s">
        <v>277</v>
      </c>
      <c r="E74" t="s">
        <v>59</v>
      </c>
    </row>
    <row r="75" spans="1:5" x14ac:dyDescent="0.2">
      <c r="A75" s="28" t="s">
        <v>213</v>
      </c>
      <c r="B75" s="28" t="s">
        <v>298</v>
      </c>
      <c r="C75" t="s">
        <v>93</v>
      </c>
      <c r="D75" s="28" t="s">
        <v>277</v>
      </c>
      <c r="E75" t="s">
        <v>60</v>
      </c>
    </row>
    <row r="76" spans="1:5" x14ac:dyDescent="0.2">
      <c r="A76" s="28" t="s">
        <v>213</v>
      </c>
      <c r="B76" s="28" t="s">
        <v>298</v>
      </c>
      <c r="C76" t="s">
        <v>93</v>
      </c>
      <c r="D76" s="28" t="s">
        <v>277</v>
      </c>
      <c r="E76" t="s">
        <v>61</v>
      </c>
    </row>
    <row r="77" spans="1:5" x14ac:dyDescent="0.2">
      <c r="A77" s="28" t="s">
        <v>213</v>
      </c>
      <c r="B77" s="28" t="s">
        <v>298</v>
      </c>
      <c r="C77" t="s">
        <v>93</v>
      </c>
      <c r="D77" s="28" t="s">
        <v>277</v>
      </c>
      <c r="E77" t="s">
        <v>62</v>
      </c>
    </row>
    <row r="78" spans="1:5" x14ac:dyDescent="0.2">
      <c r="A78" s="28" t="s">
        <v>213</v>
      </c>
      <c r="B78" s="28" t="s">
        <v>298</v>
      </c>
      <c r="C78" t="s">
        <v>93</v>
      </c>
      <c r="D78" s="28" t="s">
        <v>277</v>
      </c>
      <c r="E78" t="s">
        <v>63</v>
      </c>
    </row>
    <row r="79" spans="1:5" x14ac:dyDescent="0.2">
      <c r="A79" s="28" t="s">
        <v>213</v>
      </c>
      <c r="B79" s="28" t="s">
        <v>298</v>
      </c>
      <c r="C79" t="s">
        <v>93</v>
      </c>
      <c r="D79" s="28" t="s">
        <v>291</v>
      </c>
      <c r="E79" t="s">
        <v>64</v>
      </c>
    </row>
    <row r="80" spans="1:5" x14ac:dyDescent="0.2">
      <c r="A80" s="28" t="s">
        <v>213</v>
      </c>
      <c r="B80" s="28" t="s">
        <v>298</v>
      </c>
      <c r="C80" t="s">
        <v>93</v>
      </c>
      <c r="D80" s="28" t="s">
        <v>277</v>
      </c>
      <c r="E80" t="s">
        <v>65</v>
      </c>
    </row>
    <row r="81" spans="1:5" x14ac:dyDescent="0.2">
      <c r="A81" s="28" t="s">
        <v>213</v>
      </c>
      <c r="B81" s="28" t="s">
        <v>298</v>
      </c>
      <c r="C81" t="s">
        <v>93</v>
      </c>
      <c r="D81" s="28" t="s">
        <v>277</v>
      </c>
      <c r="E81" t="s">
        <v>66</v>
      </c>
    </row>
    <row r="82" spans="1:5" x14ac:dyDescent="0.2">
      <c r="A82" s="28" t="s">
        <v>213</v>
      </c>
      <c r="B82" s="28" t="s">
        <v>298</v>
      </c>
      <c r="C82" t="s">
        <v>93</v>
      </c>
      <c r="D82" s="28" t="s">
        <v>277</v>
      </c>
      <c r="E82" t="s">
        <v>67</v>
      </c>
    </row>
    <row r="83" spans="1:5" x14ac:dyDescent="0.2">
      <c r="A83" s="28" t="s">
        <v>213</v>
      </c>
      <c r="B83" s="28" t="s">
        <v>298</v>
      </c>
      <c r="C83" t="s">
        <v>93</v>
      </c>
      <c r="D83" s="28" t="s">
        <v>277</v>
      </c>
      <c r="E83" t="s">
        <v>68</v>
      </c>
    </row>
    <row r="84" spans="1:5" x14ac:dyDescent="0.2">
      <c r="A84" s="28" t="s">
        <v>213</v>
      </c>
      <c r="B84" s="28" t="s">
        <v>298</v>
      </c>
      <c r="C84" t="s">
        <v>93</v>
      </c>
      <c r="D84" s="28" t="s">
        <v>277</v>
      </c>
      <c r="E84" t="s">
        <v>69</v>
      </c>
    </row>
    <row r="85" spans="1:5" x14ac:dyDescent="0.2">
      <c r="A85" s="28" t="s">
        <v>213</v>
      </c>
      <c r="B85" s="28" t="s">
        <v>298</v>
      </c>
      <c r="C85" t="s">
        <v>93</v>
      </c>
      <c r="D85" s="28" t="s">
        <v>277</v>
      </c>
      <c r="E85" t="s">
        <v>70</v>
      </c>
    </row>
    <row r="86" spans="1:5" x14ac:dyDescent="0.2">
      <c r="A86" s="28" t="s">
        <v>213</v>
      </c>
      <c r="B86" s="28" t="s">
        <v>298</v>
      </c>
      <c r="C86" t="s">
        <v>93</v>
      </c>
      <c r="D86" s="28" t="s">
        <v>277</v>
      </c>
      <c r="E86" t="s">
        <v>71</v>
      </c>
    </row>
    <row r="87" spans="1:5" x14ac:dyDescent="0.2">
      <c r="A87" s="28" t="s">
        <v>213</v>
      </c>
      <c r="B87" s="28" t="s">
        <v>298</v>
      </c>
      <c r="C87" s="28" t="s">
        <v>93</v>
      </c>
      <c r="D87" s="28" t="s">
        <v>195</v>
      </c>
    </row>
    <row r="88" spans="1:5" x14ac:dyDescent="0.2">
      <c r="A88" s="28" t="s">
        <v>213</v>
      </c>
      <c r="B88" s="28" t="s">
        <v>298</v>
      </c>
      <c r="C88" s="28" t="s">
        <v>93</v>
      </c>
      <c r="D88" s="28" t="s">
        <v>304</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election activeCell="D16" sqref="D16"/>
    </sheetView>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343</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A4F9E-4AD2-4FE3-956B-826ED111227A}">
  <sheetPr codeName="Sheet27"/>
  <dimension ref="A1"/>
  <sheetViews>
    <sheetView workbookViewId="0"/>
  </sheetViews>
  <sheetFormatPr defaultRowHeight="12.75" x14ac:dyDescent="0.2"/>
  <cols>
    <col min="1" max="1" width="11.140625" customWidth="1"/>
  </cols>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Recurring</vt:lpstr>
      <vt:lpstr>Precedents</vt:lpstr>
      <vt:lpstr>Changes</vt:lpstr>
      <vt:lpstr>Planned</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VBA</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2025-04-05T11:35:12Z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